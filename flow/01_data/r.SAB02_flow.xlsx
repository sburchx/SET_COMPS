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burchs_uchicago_edu/Documents/R_Studio/SAB02/flow/01_data/"/>
    </mc:Choice>
  </mc:AlternateContent>
  <xr:revisionPtr revIDLastSave="0" documentId="8_{E049EB5C-EE3F-9E47-9089-72B1973CD0FA}" xr6:coauthVersionLast="47" xr6:coauthVersionMax="47" xr10:uidLastSave="{00000000-0000-0000-0000-000000000000}"/>
  <bookViews>
    <workbookView xWindow="1440" yWindow="760" windowWidth="28800" windowHeight="17500" xr2:uid="{7CA6BC93-6E9A-B342-A7CF-03066D6B778D}"/>
  </bookViews>
  <sheets>
    <sheet name="r.SAB02" sheetId="1" r:id="rId1"/>
    <sheet name="set2" sheetId="5" r:id="rId2"/>
    <sheet name="s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O2" i="1"/>
  <c r="N2" i="1"/>
  <c r="L37" i="5"/>
  <c r="V20" i="5"/>
  <c r="K37" i="5"/>
  <c r="L36" i="5"/>
  <c r="K36" i="5"/>
  <c r="U20" i="5"/>
  <c r="L35" i="5"/>
  <c r="T19" i="5"/>
  <c r="K35" i="5"/>
  <c r="S19" i="5"/>
  <c r="L34" i="5"/>
  <c r="V19" i="5"/>
  <c r="K34" i="5"/>
  <c r="L33" i="5"/>
  <c r="V18" i="5"/>
  <c r="K33" i="5"/>
  <c r="L32" i="5"/>
  <c r="K32" i="5"/>
  <c r="S18" i="5"/>
  <c r="L31" i="5"/>
  <c r="K31" i="5"/>
  <c r="L30" i="5"/>
  <c r="V17" i="5"/>
  <c r="K30" i="5"/>
  <c r="U17" i="5"/>
  <c r="L29" i="5"/>
  <c r="V16" i="5"/>
  <c r="K29" i="5"/>
  <c r="L28" i="5"/>
  <c r="K28" i="5"/>
  <c r="L27" i="5"/>
  <c r="K27" i="5"/>
  <c r="L26" i="5"/>
  <c r="V15" i="5"/>
  <c r="K26" i="5"/>
  <c r="U15" i="5"/>
  <c r="L25" i="5"/>
  <c r="V14" i="5"/>
  <c r="K25" i="5"/>
  <c r="L24" i="5"/>
  <c r="K24" i="5"/>
  <c r="S14" i="5"/>
  <c r="L23" i="5"/>
  <c r="K23" i="5"/>
  <c r="L22" i="5"/>
  <c r="V13" i="5"/>
  <c r="K22" i="5"/>
  <c r="U13" i="5"/>
  <c r="L21" i="5"/>
  <c r="K21" i="5"/>
  <c r="S20" i="5"/>
  <c r="R20" i="5"/>
  <c r="Q20" i="5"/>
  <c r="P20" i="5"/>
  <c r="O20" i="5"/>
  <c r="L20" i="5"/>
  <c r="K20" i="5"/>
  <c r="R19" i="5"/>
  <c r="Q19" i="5"/>
  <c r="P19" i="5"/>
  <c r="O19" i="5"/>
  <c r="L19" i="5"/>
  <c r="K19" i="5"/>
  <c r="U18" i="5"/>
  <c r="R18" i="5"/>
  <c r="Q18" i="5"/>
  <c r="P18" i="5"/>
  <c r="O18" i="5"/>
  <c r="L18" i="5"/>
  <c r="T10" i="5"/>
  <c r="K18" i="5"/>
  <c r="S10" i="5"/>
  <c r="R17" i="5"/>
  <c r="Q17" i="5"/>
  <c r="P17" i="5"/>
  <c r="O17" i="5"/>
  <c r="L17" i="5"/>
  <c r="K17" i="5"/>
  <c r="U16" i="5"/>
  <c r="S16" i="5"/>
  <c r="R16" i="5"/>
  <c r="Q16" i="5"/>
  <c r="P16" i="5"/>
  <c r="O16" i="5"/>
  <c r="L16" i="5"/>
  <c r="K16" i="5"/>
  <c r="U9" i="5"/>
  <c r="R15" i="5"/>
  <c r="Q15" i="5"/>
  <c r="P15" i="5"/>
  <c r="O15" i="5"/>
  <c r="L15" i="5"/>
  <c r="K15" i="5"/>
  <c r="U14" i="5"/>
  <c r="R14" i="5"/>
  <c r="Q14" i="5"/>
  <c r="P14" i="5"/>
  <c r="O14" i="5"/>
  <c r="L14" i="5"/>
  <c r="K14" i="5"/>
  <c r="R13" i="5"/>
  <c r="Q13" i="5"/>
  <c r="P13" i="5"/>
  <c r="O13" i="5"/>
  <c r="L13" i="5"/>
  <c r="K13" i="5"/>
  <c r="V12" i="5"/>
  <c r="U12" i="5"/>
  <c r="S12" i="5"/>
  <c r="R12" i="5"/>
  <c r="Q12" i="5"/>
  <c r="P12" i="5"/>
  <c r="O12" i="5"/>
  <c r="L12" i="5"/>
  <c r="K12" i="5"/>
  <c r="L11" i="5"/>
  <c r="K11" i="5"/>
  <c r="U10" i="5"/>
  <c r="R10" i="5"/>
  <c r="Q10" i="5"/>
  <c r="P10" i="5"/>
  <c r="O10" i="5"/>
  <c r="L10" i="5"/>
  <c r="T6" i="5"/>
  <c r="K10" i="5"/>
  <c r="U6" i="5"/>
  <c r="T9" i="5"/>
  <c r="S9" i="5"/>
  <c r="R9" i="5"/>
  <c r="Q9" i="5"/>
  <c r="P9" i="5"/>
  <c r="O9" i="5"/>
  <c r="L9" i="5"/>
  <c r="T5" i="5"/>
  <c r="K9" i="5"/>
  <c r="S5" i="5"/>
  <c r="R8" i="5"/>
  <c r="Q8" i="5"/>
  <c r="P8" i="5"/>
  <c r="O8" i="5"/>
  <c r="L8" i="5"/>
  <c r="K8" i="5"/>
  <c r="R7" i="5"/>
  <c r="Q7" i="5"/>
  <c r="P7" i="5"/>
  <c r="O7" i="5"/>
  <c r="L7" i="5"/>
  <c r="K7" i="5"/>
  <c r="R6" i="5"/>
  <c r="Q6" i="5"/>
  <c r="P6" i="5"/>
  <c r="O6" i="5"/>
  <c r="L6" i="5"/>
  <c r="V4" i="5"/>
  <c r="K6" i="5"/>
  <c r="U4" i="5"/>
  <c r="R5" i="5"/>
  <c r="Q5" i="5"/>
  <c r="P5" i="5"/>
  <c r="O5" i="5"/>
  <c r="L5" i="5"/>
  <c r="K5" i="5"/>
  <c r="R4" i="5"/>
  <c r="Q4" i="5"/>
  <c r="P4" i="5"/>
  <c r="O4" i="5"/>
  <c r="L4" i="5"/>
  <c r="K4" i="5"/>
  <c r="S3" i="5"/>
  <c r="T3" i="5"/>
  <c r="R3" i="5"/>
  <c r="Q3" i="5"/>
  <c r="P3" i="5"/>
  <c r="O3" i="5"/>
  <c r="L3" i="5"/>
  <c r="K3" i="5"/>
  <c r="R2" i="5"/>
  <c r="Q2" i="5"/>
  <c r="P2" i="5"/>
  <c r="O2" i="5"/>
  <c r="L2" i="5"/>
  <c r="K2" i="5"/>
  <c r="M37" i="4"/>
  <c r="L37" i="4"/>
  <c r="M36" i="4"/>
  <c r="L36" i="4"/>
  <c r="M35" i="4"/>
  <c r="L35" i="4"/>
  <c r="M34" i="4"/>
  <c r="W19" i="4"/>
  <c r="L34" i="4"/>
  <c r="V19" i="4"/>
  <c r="M33" i="4"/>
  <c r="L33" i="4"/>
  <c r="M32" i="4"/>
  <c r="L32" i="4"/>
  <c r="T18" i="4"/>
  <c r="M31" i="4"/>
  <c r="L31" i="4"/>
  <c r="M30" i="4"/>
  <c r="W17" i="4"/>
  <c r="L30" i="4"/>
  <c r="V17" i="4"/>
  <c r="M29" i="4"/>
  <c r="L29" i="4"/>
  <c r="M28" i="4"/>
  <c r="L28" i="4"/>
  <c r="M27" i="4"/>
  <c r="L27" i="4"/>
  <c r="M26" i="4"/>
  <c r="W15" i="4"/>
  <c r="L26" i="4"/>
  <c r="V15" i="4"/>
  <c r="M25" i="4"/>
  <c r="L25" i="4"/>
  <c r="M24" i="4"/>
  <c r="L24" i="4"/>
  <c r="T14" i="4"/>
  <c r="M23" i="4"/>
  <c r="L23" i="4"/>
  <c r="M22" i="4"/>
  <c r="W13" i="4"/>
  <c r="L22" i="4"/>
  <c r="V13" i="4"/>
  <c r="M21" i="4"/>
  <c r="L21" i="4"/>
  <c r="W20" i="4"/>
  <c r="V20" i="4"/>
  <c r="U20" i="4"/>
  <c r="T20" i="4"/>
  <c r="S20" i="4"/>
  <c r="R20" i="4"/>
  <c r="Q20" i="4"/>
  <c r="P20" i="4"/>
  <c r="M20" i="4"/>
  <c r="L20" i="4"/>
  <c r="U19" i="4"/>
  <c r="T19" i="4"/>
  <c r="S19" i="4"/>
  <c r="R19" i="4"/>
  <c r="Q19" i="4"/>
  <c r="P19" i="4"/>
  <c r="M19" i="4"/>
  <c r="L19" i="4"/>
  <c r="W18" i="4"/>
  <c r="V18" i="4"/>
  <c r="U18" i="4"/>
  <c r="S18" i="4"/>
  <c r="R18" i="4"/>
  <c r="Q18" i="4"/>
  <c r="P18" i="4"/>
  <c r="M18" i="4"/>
  <c r="U10" i="4"/>
  <c r="L18" i="4"/>
  <c r="T10" i="4"/>
  <c r="S17" i="4"/>
  <c r="R17" i="4"/>
  <c r="Q17" i="4"/>
  <c r="P17" i="4"/>
  <c r="M17" i="4"/>
  <c r="L17" i="4"/>
  <c r="W16" i="4"/>
  <c r="V16" i="4"/>
  <c r="U16" i="4"/>
  <c r="T16" i="4"/>
  <c r="S16" i="4"/>
  <c r="R16" i="4"/>
  <c r="Q16" i="4"/>
  <c r="P16" i="4"/>
  <c r="M16" i="4"/>
  <c r="L16" i="4"/>
  <c r="V9" i="4"/>
  <c r="U15" i="4"/>
  <c r="T15" i="4"/>
  <c r="S15" i="4"/>
  <c r="R15" i="4"/>
  <c r="Q15" i="4"/>
  <c r="P15" i="4"/>
  <c r="M15" i="4"/>
  <c r="L15" i="4"/>
  <c r="W14" i="4"/>
  <c r="V14" i="4"/>
  <c r="U14" i="4"/>
  <c r="S14" i="4"/>
  <c r="R14" i="4"/>
  <c r="Q14" i="4"/>
  <c r="P14" i="4"/>
  <c r="M14" i="4"/>
  <c r="W8" i="4"/>
  <c r="L14" i="4"/>
  <c r="T8" i="4"/>
  <c r="S13" i="4"/>
  <c r="R13" i="4"/>
  <c r="Q13" i="4"/>
  <c r="P13" i="4"/>
  <c r="M13" i="4"/>
  <c r="L13" i="4"/>
  <c r="W12" i="4"/>
  <c r="V12" i="4"/>
  <c r="U12" i="4"/>
  <c r="T12" i="4"/>
  <c r="S12" i="4"/>
  <c r="R12" i="4"/>
  <c r="Q12" i="4"/>
  <c r="P12" i="4"/>
  <c r="M12" i="4"/>
  <c r="L12" i="4"/>
  <c r="M11" i="4"/>
  <c r="L11" i="4"/>
  <c r="W10" i="4"/>
  <c r="V10" i="4"/>
  <c r="S10" i="4"/>
  <c r="R10" i="4"/>
  <c r="Q10" i="4"/>
  <c r="P10" i="4"/>
  <c r="M10" i="4"/>
  <c r="U6" i="4"/>
  <c r="L10" i="4"/>
  <c r="T6" i="4"/>
  <c r="W9" i="4"/>
  <c r="U9" i="4"/>
  <c r="T9" i="4"/>
  <c r="S9" i="4"/>
  <c r="R9" i="4"/>
  <c r="Q9" i="4"/>
  <c r="P9" i="4"/>
  <c r="M9" i="4"/>
  <c r="L9" i="4"/>
  <c r="S8" i="4"/>
  <c r="R8" i="4"/>
  <c r="Q8" i="4"/>
  <c r="P8" i="4"/>
  <c r="M8" i="4"/>
  <c r="W5" i="4"/>
  <c r="L8" i="4"/>
  <c r="V5" i="4"/>
  <c r="W7" i="4"/>
  <c r="V7" i="4"/>
  <c r="U7" i="4"/>
  <c r="T7" i="4"/>
  <c r="S7" i="4"/>
  <c r="R7" i="4"/>
  <c r="Q7" i="4"/>
  <c r="P7" i="4"/>
  <c r="M7" i="4"/>
  <c r="L7" i="4"/>
  <c r="W6" i="4"/>
  <c r="V6" i="4"/>
  <c r="S6" i="4"/>
  <c r="R6" i="4"/>
  <c r="Q6" i="4"/>
  <c r="P6" i="4"/>
  <c r="M6" i="4"/>
  <c r="W4" i="4"/>
  <c r="L6" i="4"/>
  <c r="V4" i="4"/>
  <c r="U5" i="4"/>
  <c r="T5" i="4"/>
  <c r="S5" i="4"/>
  <c r="R5" i="4"/>
  <c r="Q5" i="4"/>
  <c r="P5" i="4"/>
  <c r="M5" i="4"/>
  <c r="L5" i="4"/>
  <c r="S4" i="4"/>
  <c r="R4" i="4"/>
  <c r="Q4" i="4"/>
  <c r="P4" i="4"/>
  <c r="M4" i="4"/>
  <c r="L4" i="4"/>
  <c r="W3" i="4"/>
  <c r="V3" i="4"/>
  <c r="U3" i="4"/>
  <c r="T3" i="4"/>
  <c r="S3" i="4"/>
  <c r="R3" i="4"/>
  <c r="Q3" i="4"/>
  <c r="P3" i="4"/>
  <c r="M3" i="4"/>
  <c r="L3" i="4"/>
  <c r="S2" i="4"/>
  <c r="R2" i="4"/>
  <c r="Q2" i="4"/>
  <c r="P2" i="4"/>
  <c r="M2" i="4"/>
  <c r="U2" i="4"/>
  <c r="L2" i="4"/>
  <c r="T2" i="4"/>
  <c r="V3" i="5"/>
  <c r="V10" i="5"/>
  <c r="U8" i="5"/>
  <c r="V8" i="5"/>
  <c r="V6" i="5"/>
  <c r="U7" i="5"/>
  <c r="U3" i="5"/>
  <c r="T12" i="5"/>
  <c r="U19" i="5"/>
  <c r="V7" i="5"/>
  <c r="T16" i="5"/>
  <c r="T20" i="5"/>
  <c r="V9" i="5"/>
  <c r="T14" i="5"/>
  <c r="T18" i="5"/>
  <c r="S7" i="5"/>
  <c r="T7" i="5"/>
  <c r="S15" i="5"/>
  <c r="S6" i="5"/>
  <c r="T15" i="5"/>
  <c r="S2" i="5"/>
  <c r="U5" i="5"/>
  <c r="T2" i="5"/>
  <c r="V5" i="5"/>
  <c r="U2" i="5"/>
  <c r="S4" i="5"/>
  <c r="S8" i="5"/>
  <c r="T4" i="5"/>
  <c r="S13" i="5"/>
  <c r="S17" i="5"/>
  <c r="V2" i="5"/>
  <c r="T8" i="5"/>
  <c r="T13" i="5"/>
  <c r="T17" i="5"/>
  <c r="T4" i="4"/>
  <c r="U4" i="4"/>
  <c r="U8" i="4"/>
  <c r="V8" i="4"/>
  <c r="T13" i="4"/>
  <c r="T17" i="4"/>
  <c r="U13" i="4"/>
  <c r="U17" i="4"/>
  <c r="V2" i="4"/>
  <c r="W2" i="4"/>
</calcChain>
</file>

<file path=xl/sharedStrings.xml><?xml version="1.0" encoding="utf-8"?>
<sst xmlns="http://schemas.openxmlformats.org/spreadsheetml/2006/main" count="757" uniqueCount="115">
  <si>
    <t>CTNT-/ISLT-</t>
  </si>
  <si>
    <t>CTNT-/ISLT+</t>
  </si>
  <si>
    <t>CTNT+/ISLT+</t>
  </si>
  <si>
    <t>CTNT+/ISLT-</t>
  </si>
  <si>
    <t>B1_Sample1.fcs</t>
  </si>
  <si>
    <t>B2_Sample2.fcs</t>
  </si>
  <si>
    <t>B3_Sample3.fcs</t>
  </si>
  <si>
    <t>B4_Sample4.fcs</t>
  </si>
  <si>
    <t>B5_Sample5.fcs</t>
  </si>
  <si>
    <t>B6_Sample6.fcs</t>
  </si>
  <si>
    <t>B7_Sample7.fcs</t>
  </si>
  <si>
    <t>B8_Sample8.fcs</t>
  </si>
  <si>
    <t>B9_Sample9.fcs</t>
  </si>
  <si>
    <t>B10_Sample10.fcs</t>
  </si>
  <si>
    <t>B11_Sample11.fcs</t>
  </si>
  <si>
    <t>B12_Sample12.fcs</t>
  </si>
  <si>
    <t>C1_Sample13.fcs</t>
  </si>
  <si>
    <t>C2_Sample14.fcs</t>
  </si>
  <si>
    <t>C3_Sample15.fcs</t>
  </si>
  <si>
    <t>C4_Sample16.fcs</t>
  </si>
  <si>
    <t>C5_Sample17.fcs</t>
  </si>
  <si>
    <t>C6_Sample18.fcs</t>
  </si>
  <si>
    <t>C7_Sample19.fcs</t>
  </si>
  <si>
    <t>C8_Sample20.fcs</t>
  </si>
  <si>
    <t>C9_Sample21.fcs</t>
  </si>
  <si>
    <t>C10_Sample22.fcs</t>
  </si>
  <si>
    <t>C11_Sample23.fcs</t>
  </si>
  <si>
    <t>C12_Sample24.fcs</t>
  </si>
  <si>
    <t>D1_Sample25.fcs</t>
  </si>
  <si>
    <t>D2_Sample26.fcs</t>
  </si>
  <si>
    <t>D3_Sample27.fcs</t>
  </si>
  <si>
    <t>D4_Sample28.fcs</t>
  </si>
  <si>
    <t>D5_Sample29.fcs</t>
  </si>
  <si>
    <t>D6_Sample30.fcs</t>
  </si>
  <si>
    <t>D7_Sample31.fcs</t>
  </si>
  <si>
    <t>D8_Sample32.fcs</t>
  </si>
  <si>
    <t>D9_Sample33.fcs</t>
  </si>
  <si>
    <t>D10_Sample34.fcs</t>
  </si>
  <si>
    <t>D11_Sample35.fcs</t>
  </si>
  <si>
    <t>D12_Sample36.fcs</t>
  </si>
  <si>
    <t>E1_Sample37.fcs</t>
  </si>
  <si>
    <t>E2_Sample38.fcs</t>
  </si>
  <si>
    <t>E3_Sample39.fcs</t>
  </si>
  <si>
    <t>E4_Sample40.fcs</t>
  </si>
  <si>
    <t>E5_Sample41.fcs</t>
  </si>
  <si>
    <t>E6_Sample42.fcs</t>
  </si>
  <si>
    <t>E7_Sample43.fcs</t>
  </si>
  <si>
    <t>E8_Sample44.fcs</t>
  </si>
  <si>
    <t>E9_Sample45.fcs</t>
  </si>
  <si>
    <t>E10_Sample46.fcs</t>
  </si>
  <si>
    <t>E11_Sample47.fcs</t>
  </si>
  <si>
    <t>E12_Sample48.fcs</t>
  </si>
  <si>
    <t>F1_Sample49.fcs</t>
  </si>
  <si>
    <t>F2_Sample50.fcs</t>
  </si>
  <si>
    <t>F3_Sample51.fcs</t>
  </si>
  <si>
    <t>F4_Sample52.fcs</t>
  </si>
  <si>
    <t>F5_Sample53.fcs</t>
  </si>
  <si>
    <t>F6_Sample54.fcs</t>
  </si>
  <si>
    <t>F7_Sample55.fcs</t>
  </si>
  <si>
    <t>F8_Sample56.fcs</t>
  </si>
  <si>
    <t>F9_Sample57.fcs</t>
  </si>
  <si>
    <t>F10_Sample58.fcs</t>
  </si>
  <si>
    <t>F11_Sample59.fcs</t>
  </si>
  <si>
    <t>F12_Sample60.fcs</t>
  </si>
  <si>
    <t>G1_Sample61.fcs</t>
  </si>
  <si>
    <t>G2_Sample62.fcs</t>
  </si>
  <si>
    <t>G3_Sample63.fcs</t>
  </si>
  <si>
    <t>G4_Sample64.fcs</t>
  </si>
  <si>
    <t>G5_Sample65.fcs</t>
  </si>
  <si>
    <t>G6_Sample66.fcs</t>
  </si>
  <si>
    <t>G7_Sample67.fcs</t>
  </si>
  <si>
    <t>G8_Sample68.fcs</t>
  </si>
  <si>
    <t>G9_Sample69.fcs</t>
  </si>
  <si>
    <t>G10_Sample70.fcs</t>
  </si>
  <si>
    <t>G11_Sample71.fcs</t>
  </si>
  <si>
    <t>G12_Sample72.fcs</t>
  </si>
  <si>
    <t>cell</t>
  </si>
  <si>
    <t>treatment</t>
  </si>
  <si>
    <t>S3D21</t>
  </si>
  <si>
    <t>S3T21</t>
  </si>
  <si>
    <t>ctrl</t>
  </si>
  <si>
    <t>collection day</t>
  </si>
  <si>
    <t>d3</t>
  </si>
  <si>
    <t>d4</t>
  </si>
  <si>
    <t>SAG</t>
  </si>
  <si>
    <t>RA</t>
  </si>
  <si>
    <t>RA &amp; SAG</t>
  </si>
  <si>
    <t>d5</t>
  </si>
  <si>
    <t>rep</t>
  </si>
  <si>
    <t>treatmen no.</t>
  </si>
  <si>
    <t>total islet</t>
  </si>
  <si>
    <t xml:space="preserve">total ctnt </t>
  </si>
  <si>
    <t>D21</t>
  </si>
  <si>
    <t>T21</t>
  </si>
  <si>
    <t>islet sd</t>
  </si>
  <si>
    <t>ctnt sd</t>
  </si>
  <si>
    <t>label</t>
  </si>
  <si>
    <t>plate_no</t>
  </si>
  <si>
    <t>exp_no</t>
  </si>
  <si>
    <t xml:space="preserve">treatment </t>
  </si>
  <si>
    <t>day</t>
  </si>
  <si>
    <t>day_lb</t>
  </si>
  <si>
    <t>dbl_neg</t>
  </si>
  <si>
    <t>isl_pos</t>
  </si>
  <si>
    <t>islctnt_pos</t>
  </si>
  <si>
    <t>ctnt_pos</t>
  </si>
  <si>
    <t>tot_isl</t>
  </si>
  <si>
    <t>tot_ctnt</t>
  </si>
  <si>
    <t>treatment_no</t>
  </si>
  <si>
    <t>CTRL</t>
  </si>
  <si>
    <t>S2D21</t>
  </si>
  <si>
    <t>S2T21</t>
  </si>
  <si>
    <t>RA&amp;SAG</t>
  </si>
  <si>
    <t>treatment_label</t>
  </si>
  <si>
    <t>RA_SAG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</si>
</sst>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10" fontId="0" fillId="2" borderId="0" xfId="0" applyNumberFormat="1" applyFill="1"/>
    <xf numFmtId="0" fontId="2" fillId="0" borderId="0" xfId="0" applyFont="1"/>
    <xf numFmtId="0" fontId="2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Set3</a:t>
            </a:r>
            <a:r>
              <a:rPr lang="en-US" baseline="0"/>
              <a:t> </a:t>
            </a:r>
            <a:r>
              <a:rPr lang="en-US"/>
              <a:t>- D21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set2!$O$1</c:f>
              <c:strCache>
                <c:ptCount val="1"/>
                <c:pt idx="0">
                  <c:v>CTNT-/ISLT-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set2!$M$2:$N$10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set2!$O$2:$O$10</c:f>
              <c:numCache>
                <c:formatCode>0.00%</c:formatCode>
                <c:ptCount val="9"/>
                <c:pt idx="0">
                  <c:v>0.70699999999999996</c:v>
                </c:pt>
                <c:pt idx="1">
                  <c:v>0.11545</c:v>
                </c:pt>
                <c:pt idx="2">
                  <c:v>0.22049999999999997</c:v>
                </c:pt>
                <c:pt idx="3">
                  <c:v>6.8900000000000003E-2</c:v>
                </c:pt>
                <c:pt idx="4">
                  <c:v>0.11499999999999999</c:v>
                </c:pt>
                <c:pt idx="5">
                  <c:v>0.35049999999999998</c:v>
                </c:pt>
                <c:pt idx="6">
                  <c:v>0.48149999999999998</c:v>
                </c:pt>
                <c:pt idx="7">
                  <c:v>0.34849999999999998</c:v>
                </c:pt>
                <c:pt idx="8">
                  <c:v>0.39749999999999996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D-594F-AC9D-4C4922756262}"/>
            </c:ext>
          </c:extLst>
        </c:ser>
        <c:ser>
          <c:idx val="1"/>
          <c:order val="1"/>
          <c:tx>
            <c:strRef>
              <c:f>set2!$P$1</c:f>
              <c:strCache>
                <c:ptCount val="1"/>
                <c:pt idx="0">
                  <c:v>CTNT-/ISLT+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set2!$M$2:$N$10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set2!$P$2:$P$10</c:f>
              <c:numCache>
                <c:formatCode>0.00%</c:formatCode>
                <c:ptCount val="9"/>
                <c:pt idx="0">
                  <c:v>0.29100000000000004</c:v>
                </c:pt>
                <c:pt idx="1">
                  <c:v>0.87949999999999995</c:v>
                </c:pt>
                <c:pt idx="2">
                  <c:v>0.754</c:v>
                </c:pt>
                <c:pt idx="3">
                  <c:v>0.92599999999999993</c:v>
                </c:pt>
                <c:pt idx="4">
                  <c:v>0.872</c:v>
                </c:pt>
                <c:pt idx="5">
                  <c:v>0.64600000000000002</c:v>
                </c:pt>
                <c:pt idx="6">
                  <c:v>0.51200000000000001</c:v>
                </c:pt>
                <c:pt idx="7">
                  <c:v>0.64649999999999996</c:v>
                </c:pt>
                <c:pt idx="8">
                  <c:v>0.58699999999999997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D-594F-AC9D-4C4922756262}"/>
            </c:ext>
          </c:extLst>
        </c:ser>
        <c:ser>
          <c:idx val="2"/>
          <c:order val="2"/>
          <c:tx>
            <c:strRef>
              <c:f>set2!$Q$1</c:f>
              <c:strCache>
                <c:ptCount val="1"/>
                <c:pt idx="0">
                  <c:v>CTNT+/ISLT+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multiLvlStrRef>
              <c:f>set2!$M$2:$N$10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set2!$Q$2:$Q$10</c:f>
              <c:numCache>
                <c:formatCode>0.00%</c:formatCode>
                <c:ptCount val="9"/>
                <c:pt idx="0">
                  <c:v>1.15E-3</c:v>
                </c:pt>
                <c:pt idx="1">
                  <c:v>4.5300000000000002E-3</c:v>
                </c:pt>
                <c:pt idx="2">
                  <c:v>2.205E-2</c:v>
                </c:pt>
                <c:pt idx="3">
                  <c:v>4.1999999999999997E-3</c:v>
                </c:pt>
                <c:pt idx="4">
                  <c:v>1.2199999999999999E-2</c:v>
                </c:pt>
                <c:pt idx="5">
                  <c:v>2.8549999999999999E-3</c:v>
                </c:pt>
                <c:pt idx="6">
                  <c:v>1.9199999999999998E-3</c:v>
                </c:pt>
                <c:pt idx="7">
                  <c:v>3.4300000000000003E-3</c:v>
                </c:pt>
                <c:pt idx="8">
                  <c:v>8.3000000000000001E-3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9D-594F-AC9D-4C4922756262}"/>
            </c:ext>
          </c:extLst>
        </c:ser>
        <c:ser>
          <c:idx val="3"/>
          <c:order val="3"/>
          <c:tx>
            <c:strRef>
              <c:f>set2!$R$1</c:f>
              <c:strCache>
                <c:ptCount val="1"/>
                <c:pt idx="0">
                  <c:v>CTNT+/ISLT-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multiLvlStrRef>
              <c:f>set2!$M$2:$N$10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set2!$R$2:$R$10</c:f>
              <c:numCache>
                <c:formatCode>0.00%</c:formatCode>
                <c:ptCount val="9"/>
                <c:pt idx="0">
                  <c:v>1.0350000000000001E-3</c:v>
                </c:pt>
                <c:pt idx="1">
                  <c:v>4.55E-4</c:v>
                </c:pt>
                <c:pt idx="2">
                  <c:v>3.0500000000000002E-3</c:v>
                </c:pt>
                <c:pt idx="3">
                  <c:v>5.5000000000000003E-4</c:v>
                </c:pt>
                <c:pt idx="4">
                  <c:v>8.5999999999999998E-4</c:v>
                </c:pt>
                <c:pt idx="5">
                  <c:v>7.85E-4</c:v>
                </c:pt>
                <c:pt idx="6">
                  <c:v>4.7499999999999999E-3</c:v>
                </c:pt>
                <c:pt idx="7">
                  <c:v>1.7000000000000001E-3</c:v>
                </c:pt>
                <c:pt idx="8">
                  <c:v>7.4000000000000003E-3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9D-594F-AC9D-4C4922756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0728719"/>
        <c:axId val="1"/>
      </c:barChart>
      <c:catAx>
        <c:axId val="114072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2871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Set3</a:t>
            </a:r>
            <a:r>
              <a:rPr lang="en-US" baseline="0"/>
              <a:t> </a:t>
            </a:r>
            <a:r>
              <a:rPr lang="en-US"/>
              <a:t>- T21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set2!$O$1</c:f>
              <c:strCache>
                <c:ptCount val="1"/>
                <c:pt idx="0">
                  <c:v>CTNT-/ISLT-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set2!$M$12:$N$20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set2!$O$12:$O$20</c:f>
              <c:numCache>
                <c:formatCode>0.00%</c:formatCode>
                <c:ptCount val="9"/>
                <c:pt idx="0">
                  <c:v>0.85199999999999998</c:v>
                </c:pt>
                <c:pt idx="1">
                  <c:v>0.20730000000000001</c:v>
                </c:pt>
                <c:pt idx="2">
                  <c:v>0.13</c:v>
                </c:pt>
                <c:pt idx="3">
                  <c:v>0.11975</c:v>
                </c:pt>
                <c:pt idx="4">
                  <c:v>7.6749999999999999E-2</c:v>
                </c:pt>
                <c:pt idx="5">
                  <c:v>0.36050000000000004</c:v>
                </c:pt>
                <c:pt idx="6">
                  <c:v>0.60149999999999992</c:v>
                </c:pt>
                <c:pt idx="7">
                  <c:v>0.55800000000000005</c:v>
                </c:pt>
                <c:pt idx="8">
                  <c:v>0.69199999999999995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9-3A45-B3C4-C065153EC547}"/>
            </c:ext>
          </c:extLst>
        </c:ser>
        <c:ser>
          <c:idx val="1"/>
          <c:order val="1"/>
          <c:tx>
            <c:strRef>
              <c:f>set2!$P$1</c:f>
              <c:strCache>
                <c:ptCount val="1"/>
                <c:pt idx="0">
                  <c:v>CTNT-/ISLT+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set2!$M$12:$N$20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set2!$P$12:$P$20</c:f>
              <c:numCache>
                <c:formatCode>0.00%</c:formatCode>
                <c:ptCount val="9"/>
                <c:pt idx="0">
                  <c:v>0.14700000000000002</c:v>
                </c:pt>
                <c:pt idx="1">
                  <c:v>0.78899999999999992</c:v>
                </c:pt>
                <c:pt idx="2">
                  <c:v>0.86549999999999994</c:v>
                </c:pt>
                <c:pt idx="3">
                  <c:v>0.876</c:v>
                </c:pt>
                <c:pt idx="4">
                  <c:v>0.9205000000000001</c:v>
                </c:pt>
                <c:pt idx="5">
                  <c:v>0.63500000000000001</c:v>
                </c:pt>
                <c:pt idx="6">
                  <c:v>0.39300000000000002</c:v>
                </c:pt>
                <c:pt idx="7">
                  <c:v>0.43799999999999994</c:v>
                </c:pt>
                <c:pt idx="8">
                  <c:v>0.30149999999999999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9-3A45-B3C4-C065153EC547}"/>
            </c:ext>
          </c:extLst>
        </c:ser>
        <c:ser>
          <c:idx val="2"/>
          <c:order val="2"/>
          <c:tx>
            <c:strRef>
              <c:f>set2!$Q$1</c:f>
              <c:strCache>
                <c:ptCount val="1"/>
                <c:pt idx="0">
                  <c:v>CTNT+/ISLT+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multiLvlStrRef>
              <c:f>set2!$M$12:$N$20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set2!$Q$12:$Q$20</c:f>
              <c:numCache>
                <c:formatCode>0.00%</c:formatCode>
                <c:ptCount val="9"/>
                <c:pt idx="0">
                  <c:v>2.2000000000000001E-4</c:v>
                </c:pt>
                <c:pt idx="1">
                  <c:v>3.2099999999999997E-3</c:v>
                </c:pt>
                <c:pt idx="2">
                  <c:v>3.8000000000000004E-3</c:v>
                </c:pt>
                <c:pt idx="3">
                  <c:v>3.8500000000000001E-3</c:v>
                </c:pt>
                <c:pt idx="4">
                  <c:v>2.3500000000000001E-3</c:v>
                </c:pt>
                <c:pt idx="5">
                  <c:v>3.2300000000000002E-3</c:v>
                </c:pt>
                <c:pt idx="6">
                  <c:v>1.4E-3</c:v>
                </c:pt>
                <c:pt idx="7">
                  <c:v>1.5449999999999999E-3</c:v>
                </c:pt>
                <c:pt idx="8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9-3A45-B3C4-C065153EC547}"/>
            </c:ext>
          </c:extLst>
        </c:ser>
        <c:ser>
          <c:idx val="3"/>
          <c:order val="3"/>
          <c:tx>
            <c:strRef>
              <c:f>set2!$R$1</c:f>
              <c:strCache>
                <c:ptCount val="1"/>
                <c:pt idx="0">
                  <c:v>CTNT+/ISLT-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multiLvlStrRef>
              <c:f>set2!$M$12:$N$20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set2!$R$12:$R$20</c:f>
              <c:numCache>
                <c:formatCode>0.00%</c:formatCode>
                <c:ptCount val="9"/>
                <c:pt idx="0">
                  <c:v>9.8999999999999999E-4</c:v>
                </c:pt>
                <c:pt idx="1">
                  <c:v>6.7000000000000002E-4</c:v>
                </c:pt>
                <c:pt idx="2">
                  <c:v>7.9000000000000001E-4</c:v>
                </c:pt>
                <c:pt idx="3">
                  <c:v>8.5500000000000007E-4</c:v>
                </c:pt>
                <c:pt idx="4">
                  <c:v>3.9999999999999996E-4</c:v>
                </c:pt>
                <c:pt idx="5">
                  <c:v>1.57E-3</c:v>
                </c:pt>
                <c:pt idx="6">
                  <c:v>3.65E-3</c:v>
                </c:pt>
                <c:pt idx="7">
                  <c:v>2.2500000000000003E-3</c:v>
                </c:pt>
                <c:pt idx="8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59-3A45-B3C4-C065153EC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0426863"/>
        <c:axId val="1"/>
      </c:barChart>
      <c:catAx>
        <c:axId val="11404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2686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ctrl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set2!$U$2:$U$4</c:f>
                <c:numCache>
                  <c:formatCode>General</c:formatCode>
                  <c:ptCount val="3"/>
                  <c:pt idx="0">
                    <c:v>1.6049999999999981E-2</c:v>
                  </c:pt>
                  <c:pt idx="1">
                    <c:v>7.5469999999999926E-2</c:v>
                  </c:pt>
                  <c:pt idx="2">
                    <c:v>7.2649999999999992E-2</c:v>
                  </c:pt>
                </c:numCache>
              </c:numRef>
            </c:plus>
            <c:minus>
              <c:numRef>
                <c:f>set2!$U$2:$U$4</c:f>
                <c:numCache>
                  <c:formatCode>General</c:formatCode>
                  <c:ptCount val="3"/>
                  <c:pt idx="0">
                    <c:v>1.6049999999999981E-2</c:v>
                  </c:pt>
                  <c:pt idx="1">
                    <c:v>7.5469999999999926E-2</c:v>
                  </c:pt>
                  <c:pt idx="2">
                    <c:v>7.2649999999999992E-2</c:v>
                  </c:pt>
                </c:numCache>
              </c:numRef>
            </c:minus>
          </c:errBars>
          <c:cat>
            <c:strRef>
              <c:f>set2!$N$2:$N$4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set2!$S$2:$S$4</c:f>
              <c:numCache>
                <c:formatCode>0.00%</c:formatCode>
                <c:ptCount val="3"/>
                <c:pt idx="0">
                  <c:v>0.29215000000000002</c:v>
                </c:pt>
                <c:pt idx="1">
                  <c:v>0.88402999999999998</c:v>
                </c:pt>
                <c:pt idx="2">
                  <c:v>0.77605000000000002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E-B349-A6D7-EB510A93EA2F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set2!$U$12:$U$14</c:f>
                <c:numCache>
                  <c:formatCode>General</c:formatCode>
                  <c:ptCount val="3"/>
                  <c:pt idx="0">
                    <c:v>1.510999999999986E-2</c:v>
                  </c:pt>
                  <c:pt idx="1">
                    <c:v>0.17299000000000012</c:v>
                  </c:pt>
                  <c:pt idx="2">
                    <c:v>2.9800000000000049E-2</c:v>
                  </c:pt>
                </c:numCache>
              </c:numRef>
            </c:plus>
            <c:minus>
              <c:numRef>
                <c:f>set2!$U$12:$U$14</c:f>
                <c:numCache>
                  <c:formatCode>General</c:formatCode>
                  <c:ptCount val="3"/>
                  <c:pt idx="0">
                    <c:v>1.510999999999986E-2</c:v>
                  </c:pt>
                  <c:pt idx="1">
                    <c:v>0.17299000000000012</c:v>
                  </c:pt>
                  <c:pt idx="2">
                    <c:v>2.9800000000000049E-2</c:v>
                  </c:pt>
                </c:numCache>
              </c:numRef>
            </c:minus>
          </c:errBars>
          <c:cat>
            <c:strRef>
              <c:f>set2!$N$12:$N$14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set2!$S$12:$S$14</c:f>
              <c:numCache>
                <c:formatCode>0.00%</c:formatCode>
                <c:ptCount val="3"/>
                <c:pt idx="0">
                  <c:v>0.14722000000000002</c:v>
                </c:pt>
                <c:pt idx="1">
                  <c:v>0.79220999999999997</c:v>
                </c:pt>
                <c:pt idx="2">
                  <c:v>0.86929999999999996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E-B349-A6D7-EB510A93EA2F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set2!$V$2:$V$4</c:f>
                <c:numCache>
                  <c:formatCode>General</c:formatCode>
                  <c:ptCount val="3"/>
                  <c:pt idx="0">
                    <c:v>1.5000000000000039E-5</c:v>
                  </c:pt>
                  <c:pt idx="1">
                    <c:v>4.2050000000000004E-3</c:v>
                  </c:pt>
                  <c:pt idx="2">
                    <c:v>9.9999999999999967E-3</c:v>
                  </c:pt>
                </c:numCache>
              </c:numRef>
            </c:plus>
            <c:minus>
              <c:numRef>
                <c:f>set2!$V$2:$V$4</c:f>
                <c:numCache>
                  <c:formatCode>General</c:formatCode>
                  <c:ptCount val="3"/>
                  <c:pt idx="0">
                    <c:v>1.5000000000000039E-5</c:v>
                  </c:pt>
                  <c:pt idx="1">
                    <c:v>4.2050000000000004E-3</c:v>
                  </c:pt>
                  <c:pt idx="2">
                    <c:v>9.9999999999999967E-3</c:v>
                  </c:pt>
                </c:numCache>
              </c:numRef>
            </c:minus>
          </c:errBars>
          <c:cat>
            <c:strRef>
              <c:f>set2!$N$2:$N$4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set2!$T$2:$T$4</c:f>
              <c:numCache>
                <c:formatCode>0.00%</c:formatCode>
                <c:ptCount val="3"/>
                <c:pt idx="0">
                  <c:v>2.1850000000000003E-3</c:v>
                </c:pt>
                <c:pt idx="1">
                  <c:v>4.9849999999999998E-3</c:v>
                </c:pt>
                <c:pt idx="2">
                  <c:v>2.5100000000000001E-2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E-B349-A6D7-EB510A93EA2F}"/>
            </c:ext>
          </c:extLst>
        </c:ser>
        <c:ser>
          <c:idx val="1"/>
          <c:order val="3"/>
          <c:tx>
            <c:v>T21</c:v>
          </c:tx>
          <c:spPr>
            <a:pattFill prst="pct5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set2!$V$12:$V$14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2.7600000000000003E-3</c:v>
                  </c:pt>
                  <c:pt idx="2">
                    <c:v>1.39E-3</c:v>
                  </c:pt>
                </c:numCache>
              </c:numRef>
            </c:plus>
            <c:minus>
              <c:numRef>
                <c:f>set2!$V$12:$V$14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2.7600000000000003E-3</c:v>
                  </c:pt>
                  <c:pt idx="2">
                    <c:v>1.39E-3</c:v>
                  </c:pt>
                </c:numCache>
              </c:numRef>
            </c:minus>
          </c:errBars>
          <c:cat>
            <c:strRef>
              <c:f>set2!$N$12:$N$14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set2!$T$12:$T$14</c:f>
              <c:numCache>
                <c:formatCode>0.00%</c:formatCode>
                <c:ptCount val="3"/>
                <c:pt idx="0">
                  <c:v>1.2100000000000001E-3</c:v>
                </c:pt>
                <c:pt idx="1">
                  <c:v>3.8799999999999998E-3</c:v>
                </c:pt>
                <c:pt idx="2">
                  <c:v>4.5900000000000003E-3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E-B349-A6D7-EB510A93E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276399"/>
        <c:axId val="1"/>
      </c:barChart>
      <c:catAx>
        <c:axId val="114027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76399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set2!$U$7:$U$8</c:f>
                <c:numCache>
                  <c:formatCode>General</c:formatCode>
                  <c:ptCount val="2"/>
                  <c:pt idx="0">
                    <c:v>0.24114500000000016</c:v>
                  </c:pt>
                  <c:pt idx="1">
                    <c:v>0.11997999999999989</c:v>
                  </c:pt>
                </c:numCache>
              </c:numRef>
            </c:plus>
            <c:minus>
              <c:numRef>
                <c:f>set2!$U$7:$U$8</c:f>
                <c:numCache>
                  <c:formatCode>General</c:formatCode>
                  <c:ptCount val="2"/>
                  <c:pt idx="0">
                    <c:v>0.24114500000000016</c:v>
                  </c:pt>
                  <c:pt idx="1">
                    <c:v>0.11997999999999989</c:v>
                  </c:pt>
                </c:numCache>
              </c:numRef>
            </c:minus>
          </c:errBars>
          <c:cat>
            <c:strRef>
              <c:f>set2!$N$7:$N$8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set2!$S$7:$S$8</c:f>
              <c:numCache>
                <c:formatCode>0.00%</c:formatCode>
                <c:ptCount val="2"/>
                <c:pt idx="0">
                  <c:v>0.64885499999999996</c:v>
                </c:pt>
                <c:pt idx="1">
                  <c:v>0.51392000000000004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B740-8AAC-1D594174317A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set2!$U$17:$U$18</c:f>
                <c:numCache>
                  <c:formatCode>General</c:formatCode>
                  <c:ptCount val="2"/>
                  <c:pt idx="0">
                    <c:v>0.1988700000000001</c:v>
                  </c:pt>
                  <c:pt idx="1">
                    <c:v>3.9900000000000407E-2</c:v>
                  </c:pt>
                </c:numCache>
              </c:numRef>
            </c:plus>
            <c:minus>
              <c:numRef>
                <c:f>set2!$U$17:$U$18</c:f>
                <c:numCache>
                  <c:formatCode>General</c:formatCode>
                  <c:ptCount val="2"/>
                  <c:pt idx="0">
                    <c:v>0.1988700000000001</c:v>
                  </c:pt>
                  <c:pt idx="1">
                    <c:v>3.9900000000000407E-2</c:v>
                  </c:pt>
                </c:numCache>
              </c:numRef>
            </c:minus>
          </c:errBars>
          <c:cat>
            <c:strRef>
              <c:f>set2!$N$7:$N$8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set2!$S$17:$S$18</c:f>
              <c:numCache>
                <c:formatCode>0.00%</c:formatCode>
                <c:ptCount val="2"/>
                <c:pt idx="0">
                  <c:v>0.63822999999999996</c:v>
                </c:pt>
                <c:pt idx="1">
                  <c:v>0.39439999999999997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8-B740-8AAC-1D594174317A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set2!$V$7:$V$8</c:f>
                <c:numCache>
                  <c:formatCode>General</c:formatCode>
                  <c:ptCount val="2"/>
                  <c:pt idx="0">
                    <c:v>2.4600000000000004E-3</c:v>
                  </c:pt>
                  <c:pt idx="1">
                    <c:v>5.7000000000000019E-4</c:v>
                  </c:pt>
                </c:numCache>
              </c:numRef>
            </c:plus>
            <c:minus>
              <c:numRef>
                <c:f>set2!$V$7:$V$8</c:f>
                <c:numCache>
                  <c:formatCode>General</c:formatCode>
                  <c:ptCount val="2"/>
                  <c:pt idx="0">
                    <c:v>2.4600000000000004E-3</c:v>
                  </c:pt>
                  <c:pt idx="1">
                    <c:v>5.7000000000000019E-4</c:v>
                  </c:pt>
                </c:numCache>
              </c:numRef>
            </c:minus>
          </c:errBars>
          <c:cat>
            <c:strRef>
              <c:f>set2!$N$7:$N$8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set2!$T$7:$T$8</c:f>
              <c:numCache>
                <c:formatCode>0.00%</c:formatCode>
                <c:ptCount val="2"/>
                <c:pt idx="0">
                  <c:v>3.64E-3</c:v>
                </c:pt>
                <c:pt idx="1">
                  <c:v>6.6699999999999997E-3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8-B740-8AAC-1D594174317A}"/>
            </c:ext>
          </c:extLst>
        </c:ser>
        <c:ser>
          <c:idx val="1"/>
          <c:order val="3"/>
          <c:tx>
            <c:v>T21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set2!$V$17:$V$18</c:f>
                <c:numCache>
                  <c:formatCode>General</c:formatCode>
                  <c:ptCount val="2"/>
                  <c:pt idx="0">
                    <c:v>3.6000000000000008E-3</c:v>
                  </c:pt>
                  <c:pt idx="1">
                    <c:v>2.0500000000000002E-3</c:v>
                  </c:pt>
                </c:numCache>
              </c:numRef>
            </c:plus>
            <c:minus>
              <c:numRef>
                <c:f>set2!$V$17:$V$18</c:f>
                <c:numCache>
                  <c:formatCode>General</c:formatCode>
                  <c:ptCount val="2"/>
                  <c:pt idx="0">
                    <c:v>3.6000000000000008E-3</c:v>
                  </c:pt>
                  <c:pt idx="1">
                    <c:v>2.0500000000000002E-3</c:v>
                  </c:pt>
                </c:numCache>
              </c:numRef>
            </c:minus>
          </c:errBars>
          <c:cat>
            <c:strRef>
              <c:f>set2!$N$7:$N$8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set2!$T$17:$T$18</c:f>
              <c:numCache>
                <c:formatCode>0.00%</c:formatCode>
                <c:ptCount val="2"/>
                <c:pt idx="0">
                  <c:v>4.8000000000000004E-3</c:v>
                </c:pt>
                <c:pt idx="1">
                  <c:v>5.0500000000000007E-3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D8-B740-8AAC-1D5941743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352304"/>
        <c:axId val="1"/>
      </c:barChart>
      <c:catAx>
        <c:axId val="9143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52304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set2!$U$5:$U$6</c:f>
                <c:numCache>
                  <c:formatCode>General</c:formatCode>
                  <c:ptCount val="2"/>
                  <c:pt idx="0">
                    <c:v>2.4599999999999955E-2</c:v>
                  </c:pt>
                  <c:pt idx="1">
                    <c:v>5.8000000000000274E-3</c:v>
                  </c:pt>
                </c:numCache>
              </c:numRef>
            </c:plus>
            <c:minus>
              <c:numRef>
                <c:f>set2!$U$5:$U$6</c:f>
                <c:numCache>
                  <c:formatCode>General</c:formatCode>
                  <c:ptCount val="2"/>
                  <c:pt idx="0">
                    <c:v>2.4599999999999955E-2</c:v>
                  </c:pt>
                  <c:pt idx="1">
                    <c:v>5.8000000000000274E-3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set2!$S$5:$S$6</c:f>
              <c:numCache>
                <c:formatCode>0.00%</c:formatCode>
                <c:ptCount val="2"/>
                <c:pt idx="0">
                  <c:v>0.93020000000000003</c:v>
                </c:pt>
                <c:pt idx="1">
                  <c:v>0.88419999999999999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C-8C48-8A54-70E5B2508DFC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set2!$U$15:$U$16</c:f>
                <c:numCache>
                  <c:formatCode>General</c:formatCode>
                  <c:ptCount val="2"/>
                  <c:pt idx="0">
                    <c:v>7.2049999999999947E-2</c:v>
                  </c:pt>
                  <c:pt idx="1">
                    <c:v>9.2499999999999805E-3</c:v>
                  </c:pt>
                </c:numCache>
              </c:numRef>
            </c:plus>
            <c:minus>
              <c:numRef>
                <c:f>set2!$U$15:$U$16</c:f>
                <c:numCache>
                  <c:formatCode>General</c:formatCode>
                  <c:ptCount val="2"/>
                  <c:pt idx="0">
                    <c:v>7.2049999999999947E-2</c:v>
                  </c:pt>
                  <c:pt idx="1">
                    <c:v>9.2499999999999805E-3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set2!$S$15:$S$16</c:f>
              <c:numCache>
                <c:formatCode>0.00%</c:formatCode>
                <c:ptCount val="2"/>
                <c:pt idx="0">
                  <c:v>0.87985000000000002</c:v>
                </c:pt>
                <c:pt idx="1">
                  <c:v>0.92285000000000006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C-8C48-8A54-70E5B2508DFC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set2!$V$5:$V$6</c:f>
                <c:numCache>
                  <c:formatCode>General</c:formatCode>
                  <c:ptCount val="2"/>
                  <c:pt idx="0">
                    <c:v>2.5999999999999999E-3</c:v>
                  </c:pt>
                  <c:pt idx="1">
                    <c:v>1.8500000000000001E-3</c:v>
                  </c:pt>
                </c:numCache>
              </c:numRef>
            </c:plus>
            <c:minus>
              <c:numRef>
                <c:f>set2!$V$5:$V$6</c:f>
                <c:numCache>
                  <c:formatCode>General</c:formatCode>
                  <c:ptCount val="2"/>
                  <c:pt idx="0">
                    <c:v>2.5999999999999999E-3</c:v>
                  </c:pt>
                  <c:pt idx="1">
                    <c:v>1.8500000000000001E-3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set2!$T$5:$T$6</c:f>
              <c:numCache>
                <c:formatCode>0.00%</c:formatCode>
                <c:ptCount val="2"/>
                <c:pt idx="0">
                  <c:v>4.7499999999999999E-3</c:v>
                </c:pt>
                <c:pt idx="1">
                  <c:v>1.3059999999999999E-2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C-8C48-8A54-70E5B2508DFC}"/>
            </c:ext>
          </c:extLst>
        </c:ser>
        <c:ser>
          <c:idx val="1"/>
          <c:order val="3"/>
          <c:tx>
            <c:v>T21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set2!$V$15:$V$16</c:f>
                <c:numCache>
                  <c:formatCode>General</c:formatCode>
                  <c:ptCount val="2"/>
                  <c:pt idx="0">
                    <c:v>3.1050000000000006E-3</c:v>
                  </c:pt>
                  <c:pt idx="1">
                    <c:v>6.9999999999999988E-4</c:v>
                  </c:pt>
                </c:numCache>
              </c:numRef>
            </c:plus>
            <c:minus>
              <c:numRef>
                <c:f>set2!$V$15:$V$16</c:f>
                <c:numCache>
                  <c:formatCode>General</c:formatCode>
                  <c:ptCount val="2"/>
                  <c:pt idx="0">
                    <c:v>3.1050000000000006E-3</c:v>
                  </c:pt>
                  <c:pt idx="1">
                    <c:v>6.9999999999999988E-4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set2!$T$15:$T$16</c:f>
              <c:numCache>
                <c:formatCode>0.00%</c:formatCode>
                <c:ptCount val="2"/>
                <c:pt idx="0">
                  <c:v>4.705E-3</c:v>
                </c:pt>
                <c:pt idx="1">
                  <c:v>2.7499999999999998E-3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C-8C48-8A54-70E5B250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357888"/>
        <c:axId val="1"/>
      </c:barChart>
      <c:catAx>
        <c:axId val="91335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57888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ra-sag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set2!$U$9:$U$10</c:f>
                <c:numCache>
                  <c:formatCode>General</c:formatCode>
                  <c:ptCount val="2"/>
                  <c:pt idx="0">
                    <c:v>0.2354699999999999</c:v>
                  </c:pt>
                  <c:pt idx="1">
                    <c:v>4.8999999999999988E-2</c:v>
                  </c:pt>
                </c:numCache>
              </c:numRef>
            </c:plus>
            <c:minus>
              <c:numRef>
                <c:f>set2!$U$9:$U$10</c:f>
                <c:numCache>
                  <c:formatCode>General</c:formatCode>
                  <c:ptCount val="2"/>
                  <c:pt idx="0">
                    <c:v>0.2354699999999999</c:v>
                  </c:pt>
                  <c:pt idx="1">
                    <c:v>4.8999999999999988E-2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set2!$S$9:$S$10</c:f>
              <c:numCache>
                <c:formatCode>0.00%</c:formatCode>
                <c:ptCount val="2"/>
                <c:pt idx="0">
                  <c:v>0.64993000000000001</c:v>
                </c:pt>
                <c:pt idx="1">
                  <c:v>0.59529999999999994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8-474D-8A4C-E4135881C741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set2!$U$19:$U$20</c:f>
                <c:numCache>
                  <c:formatCode>General</c:formatCode>
                  <c:ptCount val="2"/>
                  <c:pt idx="0">
                    <c:v>0.1462050000000002</c:v>
                  </c:pt>
                  <c:pt idx="1">
                    <c:v>1.0500000000000009E-2</c:v>
                  </c:pt>
                </c:numCache>
              </c:numRef>
            </c:plus>
            <c:minus>
              <c:numRef>
                <c:f>set2!$U$19:$U$20</c:f>
                <c:numCache>
                  <c:formatCode>General</c:formatCode>
                  <c:ptCount val="2"/>
                  <c:pt idx="0">
                    <c:v>0.1462050000000002</c:v>
                  </c:pt>
                  <c:pt idx="1">
                    <c:v>1.0500000000000009E-2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set2!$S$19:$S$20</c:f>
              <c:numCache>
                <c:formatCode>0.00%</c:formatCode>
                <c:ptCount val="2"/>
                <c:pt idx="0">
                  <c:v>0.43954499999999996</c:v>
                </c:pt>
                <c:pt idx="1">
                  <c:v>0.30380000000000001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8-474D-8A4C-E4135881C741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set2!$V$9:$V$10</c:f>
                <c:numCache>
                  <c:formatCode>General</c:formatCode>
                  <c:ptCount val="2"/>
                  <c:pt idx="0">
                    <c:v>2.4700000000000004E-3</c:v>
                  </c:pt>
                  <c:pt idx="1">
                    <c:v>2.5999999999999999E-3</c:v>
                  </c:pt>
                </c:numCache>
              </c:numRef>
            </c:plus>
            <c:minus>
              <c:numRef>
                <c:f>set2!$V$9:$V$10</c:f>
                <c:numCache>
                  <c:formatCode>General</c:formatCode>
                  <c:ptCount val="2"/>
                  <c:pt idx="0">
                    <c:v>2.4700000000000004E-3</c:v>
                  </c:pt>
                  <c:pt idx="1">
                    <c:v>2.5999999999999999E-3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set2!$T$9:$T$10</c:f>
              <c:numCache>
                <c:formatCode>0.00%</c:formatCode>
                <c:ptCount val="2"/>
                <c:pt idx="0">
                  <c:v>5.13E-3</c:v>
                </c:pt>
                <c:pt idx="1">
                  <c:v>1.5699999999999999E-2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8-474D-8A4C-E4135881C741}"/>
            </c:ext>
          </c:extLst>
        </c:ser>
        <c:ser>
          <c:idx val="1"/>
          <c:order val="3"/>
          <c:tx>
            <c:v>T21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set2!$V$19:$V$20</c:f>
                <c:numCache>
                  <c:formatCode>General</c:formatCode>
                  <c:ptCount val="2"/>
                  <c:pt idx="0">
                    <c:v>5.2050000000000013E-3</c:v>
                  </c:pt>
                  <c:pt idx="1">
                    <c:v>5.0000000000000001E-4</c:v>
                  </c:pt>
                </c:numCache>
              </c:numRef>
            </c:plus>
            <c:minus>
              <c:numRef>
                <c:f>set2!$V$19:$V$20</c:f>
                <c:numCache>
                  <c:formatCode>General</c:formatCode>
                  <c:ptCount val="2"/>
                  <c:pt idx="0">
                    <c:v>5.2050000000000013E-3</c:v>
                  </c:pt>
                  <c:pt idx="1">
                    <c:v>5.0000000000000001E-4</c:v>
                  </c:pt>
                </c:numCache>
              </c:numRef>
            </c:minus>
          </c:errBars>
          <c:cat>
            <c:strRef>
              <c:f>set2!$N$5:$N$6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set2!$T$19:$T$20</c:f>
              <c:numCache>
                <c:formatCode>0.00%</c:formatCode>
                <c:ptCount val="2"/>
                <c:pt idx="0">
                  <c:v>3.7949999999999998E-3</c:v>
                </c:pt>
                <c:pt idx="1">
                  <c:v>6.3E-3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C8-474D-8A4C-E4135881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527568"/>
        <c:axId val="1"/>
      </c:barChart>
      <c:catAx>
        <c:axId val="66652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27568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Set3</a:t>
            </a:r>
            <a:r>
              <a:rPr lang="en-US" baseline="0"/>
              <a:t> </a:t>
            </a:r>
            <a:r>
              <a:rPr lang="en-US"/>
              <a:t>- D21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set3!$P$1</c:f>
              <c:strCache>
                <c:ptCount val="1"/>
                <c:pt idx="0">
                  <c:v>CTNT-/ISLT-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set3!$N$2:$O$10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set3!$P$2:$P$10</c:f>
              <c:numCache>
                <c:formatCode>0.00%</c:formatCode>
                <c:ptCount val="9"/>
                <c:pt idx="0">
                  <c:v>0.70750000000000002</c:v>
                </c:pt>
                <c:pt idx="1">
                  <c:v>0.10715</c:v>
                </c:pt>
                <c:pt idx="2">
                  <c:v>0.191</c:v>
                </c:pt>
                <c:pt idx="3">
                  <c:v>0.1356</c:v>
                </c:pt>
                <c:pt idx="4">
                  <c:v>0.18480000000000002</c:v>
                </c:pt>
                <c:pt idx="5">
                  <c:v>0.35549999999999998</c:v>
                </c:pt>
                <c:pt idx="6">
                  <c:v>0.622</c:v>
                </c:pt>
                <c:pt idx="7">
                  <c:v>0.28899999999999998</c:v>
                </c:pt>
                <c:pt idx="8">
                  <c:v>0.54400000000000004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354E-A117-9F6DAEBE5E4E}"/>
            </c:ext>
          </c:extLst>
        </c:ser>
        <c:ser>
          <c:idx val="1"/>
          <c:order val="1"/>
          <c:tx>
            <c:strRef>
              <c:f>set3!$Q$1</c:f>
              <c:strCache>
                <c:ptCount val="1"/>
                <c:pt idx="0">
                  <c:v>CTNT-/ISLT+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set3!$N$2:$O$10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set3!$Q$2:$Q$10</c:f>
              <c:numCache>
                <c:formatCode>0.00%</c:formatCode>
                <c:ptCount val="9"/>
                <c:pt idx="0">
                  <c:v>0.29049999999999998</c:v>
                </c:pt>
                <c:pt idx="1">
                  <c:v>0.89</c:v>
                </c:pt>
                <c:pt idx="2">
                  <c:v>0.78649999999999998</c:v>
                </c:pt>
                <c:pt idx="3">
                  <c:v>0.86250000000000004</c:v>
                </c:pt>
                <c:pt idx="4">
                  <c:v>0.78800000000000003</c:v>
                </c:pt>
                <c:pt idx="5">
                  <c:v>0.64200000000000002</c:v>
                </c:pt>
                <c:pt idx="6">
                  <c:v>0.374</c:v>
                </c:pt>
                <c:pt idx="7">
                  <c:v>0.70849999999999991</c:v>
                </c:pt>
                <c:pt idx="8">
                  <c:v>0.44950000000000001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F-354E-A117-9F6DAEBE5E4E}"/>
            </c:ext>
          </c:extLst>
        </c:ser>
        <c:ser>
          <c:idx val="2"/>
          <c:order val="2"/>
          <c:tx>
            <c:strRef>
              <c:f>set3!$R$1</c:f>
              <c:strCache>
                <c:ptCount val="1"/>
                <c:pt idx="0">
                  <c:v>CTNT+/ISLT+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multiLvlStrRef>
              <c:f>set3!$N$2:$O$10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set3!$R$2:$R$10</c:f>
              <c:numCache>
                <c:formatCode>0.00%</c:formatCode>
                <c:ptCount val="9"/>
                <c:pt idx="0">
                  <c:v>6.0500000000000007E-4</c:v>
                </c:pt>
                <c:pt idx="1">
                  <c:v>1.9650000000000002E-3</c:v>
                </c:pt>
                <c:pt idx="2">
                  <c:v>1.975E-2</c:v>
                </c:pt>
                <c:pt idx="3">
                  <c:v>1.5E-3</c:v>
                </c:pt>
                <c:pt idx="4">
                  <c:v>2.5704999999999999E-2</c:v>
                </c:pt>
                <c:pt idx="5">
                  <c:v>1.2999999999999999E-3</c:v>
                </c:pt>
                <c:pt idx="6">
                  <c:v>8.9999999999999998E-4</c:v>
                </c:pt>
                <c:pt idx="7">
                  <c:v>1.1000000000000001E-3</c:v>
                </c:pt>
                <c:pt idx="8">
                  <c:v>2.5500000000000002E-3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F-354E-A117-9F6DAEBE5E4E}"/>
            </c:ext>
          </c:extLst>
        </c:ser>
        <c:ser>
          <c:idx val="3"/>
          <c:order val="3"/>
          <c:tx>
            <c:strRef>
              <c:f>set3!$S$1</c:f>
              <c:strCache>
                <c:ptCount val="1"/>
                <c:pt idx="0">
                  <c:v>CTNT+/ISLT-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multiLvlStrRef>
              <c:f>set3!$N$2:$O$10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set3!$S$2:$S$10</c:f>
              <c:numCache>
                <c:formatCode>0.00%</c:formatCode>
                <c:ptCount val="9"/>
                <c:pt idx="0">
                  <c:v>1.06E-3</c:v>
                </c:pt>
                <c:pt idx="1">
                  <c:v>3.4000000000000002E-4</c:v>
                </c:pt>
                <c:pt idx="2">
                  <c:v>3.075E-3</c:v>
                </c:pt>
                <c:pt idx="3">
                  <c:v>3.2499999999999999E-4</c:v>
                </c:pt>
                <c:pt idx="4">
                  <c:v>1.5200000000000001E-3</c:v>
                </c:pt>
                <c:pt idx="5">
                  <c:v>1.4499999999999999E-3</c:v>
                </c:pt>
                <c:pt idx="6">
                  <c:v>2.4000000000000002E-3</c:v>
                </c:pt>
                <c:pt idx="7">
                  <c:v>1.4499999999999999E-3</c:v>
                </c:pt>
                <c:pt idx="8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CF-354E-A117-9F6DAEBE5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9944911"/>
        <c:axId val="1"/>
      </c:barChart>
      <c:catAx>
        <c:axId val="11399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4491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Set3</a:t>
            </a:r>
            <a:r>
              <a:rPr lang="en-US" baseline="0"/>
              <a:t> </a:t>
            </a:r>
            <a:r>
              <a:rPr lang="en-US"/>
              <a:t>- T21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set3!$P$1</c:f>
              <c:strCache>
                <c:ptCount val="1"/>
                <c:pt idx="0">
                  <c:v>CTNT-/ISLT-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set3!$N$12:$O$20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set3!$P$12:$P$20</c:f>
              <c:numCache>
                <c:formatCode>0.00%</c:formatCode>
                <c:ptCount val="9"/>
                <c:pt idx="0">
                  <c:v>0.75249999999999995</c:v>
                </c:pt>
                <c:pt idx="1">
                  <c:v>0.18</c:v>
                </c:pt>
                <c:pt idx="2">
                  <c:v>0.17649999999999999</c:v>
                </c:pt>
                <c:pt idx="3">
                  <c:v>0.16249999999999998</c:v>
                </c:pt>
                <c:pt idx="4">
                  <c:v>0.14599999999999999</c:v>
                </c:pt>
                <c:pt idx="5">
                  <c:v>0.28599999999999998</c:v>
                </c:pt>
                <c:pt idx="6">
                  <c:v>0.48350000000000004</c:v>
                </c:pt>
                <c:pt idx="7">
                  <c:v>0.46699999999999997</c:v>
                </c:pt>
                <c:pt idx="8">
                  <c:v>0.47950000000000004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A-FF48-8BD7-7C1CF95E33BF}"/>
            </c:ext>
          </c:extLst>
        </c:ser>
        <c:ser>
          <c:idx val="1"/>
          <c:order val="1"/>
          <c:tx>
            <c:strRef>
              <c:f>set3!$Q$1</c:f>
              <c:strCache>
                <c:ptCount val="1"/>
                <c:pt idx="0">
                  <c:v>CTNT-/ISLT+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set3!$N$12:$O$20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set3!$Q$12:$Q$20</c:f>
              <c:numCache>
                <c:formatCode>0.00%</c:formatCode>
                <c:ptCount val="9"/>
                <c:pt idx="0">
                  <c:v>0.2465</c:v>
                </c:pt>
                <c:pt idx="1">
                  <c:v>0.8145</c:v>
                </c:pt>
                <c:pt idx="2">
                  <c:v>0.80449999999999999</c:v>
                </c:pt>
                <c:pt idx="3">
                  <c:v>0.83499999999999996</c:v>
                </c:pt>
                <c:pt idx="4">
                  <c:v>0.83899999999999997</c:v>
                </c:pt>
                <c:pt idx="5">
                  <c:v>0.71050000000000002</c:v>
                </c:pt>
                <c:pt idx="6">
                  <c:v>0.50850000000000006</c:v>
                </c:pt>
                <c:pt idx="7">
                  <c:v>0.52899999999999991</c:v>
                </c:pt>
                <c:pt idx="8">
                  <c:v>0.51149999999999995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A-FF48-8BD7-7C1CF95E33BF}"/>
            </c:ext>
          </c:extLst>
        </c:ser>
        <c:ser>
          <c:idx val="2"/>
          <c:order val="2"/>
          <c:tx>
            <c:strRef>
              <c:f>set3!$R$1</c:f>
              <c:strCache>
                <c:ptCount val="1"/>
                <c:pt idx="0">
                  <c:v>CTNT+/ISLT+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multiLvlStrRef>
              <c:f>set3!$N$12:$O$20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set3!$R$12:$R$20</c:f>
              <c:numCache>
                <c:formatCode>0.00%</c:formatCode>
                <c:ptCount val="9"/>
                <c:pt idx="0">
                  <c:v>2.8499999999999999E-4</c:v>
                </c:pt>
                <c:pt idx="1">
                  <c:v>3.9449999999999997E-3</c:v>
                </c:pt>
                <c:pt idx="2">
                  <c:v>1.67E-2</c:v>
                </c:pt>
                <c:pt idx="3">
                  <c:v>1.4E-3</c:v>
                </c:pt>
                <c:pt idx="4">
                  <c:v>1.29E-2</c:v>
                </c:pt>
                <c:pt idx="5">
                  <c:v>1.6949999999999999E-3</c:v>
                </c:pt>
                <c:pt idx="6">
                  <c:v>2.8E-3</c:v>
                </c:pt>
                <c:pt idx="7">
                  <c:v>2.075E-3</c:v>
                </c:pt>
                <c:pt idx="8">
                  <c:v>4.8500000000000001E-3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A-FF48-8BD7-7C1CF95E33BF}"/>
            </c:ext>
          </c:extLst>
        </c:ser>
        <c:ser>
          <c:idx val="3"/>
          <c:order val="3"/>
          <c:tx>
            <c:strRef>
              <c:f>set3!$S$1</c:f>
              <c:strCache>
                <c:ptCount val="1"/>
                <c:pt idx="0">
                  <c:v>CTNT+/ISLT-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multiLvlStrRef>
              <c:f>set3!$N$12:$O$20</c:f>
              <c:multiLvlStrCache>
                <c:ptCount val="9"/>
                <c:lvl>
                  <c:pt idx="0">
                    <c:v>d3</c:v>
                  </c:pt>
                  <c:pt idx="1">
                    <c:v>d4</c:v>
                  </c:pt>
                  <c:pt idx="2">
                    <c:v>d5</c:v>
                  </c:pt>
                  <c:pt idx="3">
                    <c:v>d4</c:v>
                  </c:pt>
                  <c:pt idx="4">
                    <c:v>d5</c:v>
                  </c:pt>
                  <c:pt idx="5">
                    <c:v>d4</c:v>
                  </c:pt>
                  <c:pt idx="6">
                    <c:v>d5</c:v>
                  </c:pt>
                  <c:pt idx="7">
                    <c:v>d4</c:v>
                  </c:pt>
                  <c:pt idx="8">
                    <c:v>d5</c:v>
                  </c:pt>
                </c:lvl>
                <c:lvl>
                  <c:pt idx="0">
                    <c:v>ctrl</c:v>
                  </c:pt>
                  <c:pt idx="3">
                    <c:v>SAG</c:v>
                  </c:pt>
                  <c:pt idx="5">
                    <c:v>RA</c:v>
                  </c:pt>
                  <c:pt idx="7">
                    <c:v>RA &amp; SAG</c:v>
                  </c:pt>
                </c:lvl>
              </c:multiLvlStrCache>
            </c:multiLvlStrRef>
          </c:cat>
          <c:val>
            <c:numRef>
              <c:f>set3!$S$12:$S$20</c:f>
              <c:numCache>
                <c:formatCode>0.00%</c:formatCode>
                <c:ptCount val="9"/>
                <c:pt idx="0">
                  <c:v>8.5500000000000007E-4</c:v>
                </c:pt>
                <c:pt idx="1">
                  <c:v>1.4949999999999998E-3</c:v>
                </c:pt>
                <c:pt idx="2">
                  <c:v>2.1450000000000002E-3</c:v>
                </c:pt>
                <c:pt idx="3">
                  <c:v>5.5000000000000003E-4</c:v>
                </c:pt>
                <c:pt idx="4">
                  <c:v>2.1749999999999999E-3</c:v>
                </c:pt>
                <c:pt idx="5">
                  <c:v>1.7000000000000001E-3</c:v>
                </c:pt>
                <c:pt idx="6">
                  <c:v>5.3500000000000006E-3</c:v>
                </c:pt>
                <c:pt idx="7">
                  <c:v>1.5499999999999999E-3</c:v>
                </c:pt>
                <c:pt idx="8">
                  <c:v>4.15E-3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0A-FF48-8BD7-7C1CF95E3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731904"/>
        <c:axId val="1"/>
      </c:barChart>
      <c:catAx>
        <c:axId val="14747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319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ctrl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set3!$V$2:$V$4</c:f>
                <c:numCache>
                  <c:formatCode>General</c:formatCode>
                  <c:ptCount val="3"/>
                  <c:pt idx="0">
                    <c:v>6.4994999999999928E-2</c:v>
                  </c:pt>
                  <c:pt idx="1">
                    <c:v>4.2035000000000045E-2</c:v>
                  </c:pt>
                  <c:pt idx="2">
                    <c:v>7.5550000000000062E-2</c:v>
                  </c:pt>
                </c:numCache>
              </c:numRef>
            </c:plus>
            <c:minus>
              <c:numRef>
                <c:f>set3!$V$2:$V$4</c:f>
                <c:numCache>
                  <c:formatCode>General</c:formatCode>
                  <c:ptCount val="3"/>
                  <c:pt idx="0">
                    <c:v>6.4994999999999928E-2</c:v>
                  </c:pt>
                  <c:pt idx="1">
                    <c:v>4.2035000000000045E-2</c:v>
                  </c:pt>
                  <c:pt idx="2">
                    <c:v>7.5550000000000062E-2</c:v>
                  </c:pt>
                </c:numCache>
              </c:numRef>
            </c:minus>
          </c:errBars>
          <c:cat>
            <c:strRef>
              <c:f>set3!$O$2:$O$4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set3!$T$2:$T$4</c:f>
              <c:numCache>
                <c:formatCode>0.00%</c:formatCode>
                <c:ptCount val="3"/>
                <c:pt idx="0">
                  <c:v>0.291105</c:v>
                </c:pt>
                <c:pt idx="1">
                  <c:v>0.89196500000000001</c:v>
                </c:pt>
                <c:pt idx="2">
                  <c:v>0.80624999999999991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0-F341-A6BC-EF705F6797C1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set3!$V$12:$V$14</c:f>
                <c:numCache>
                  <c:formatCode>General</c:formatCode>
                  <c:ptCount val="3"/>
                  <c:pt idx="0">
                    <c:v>5.0785000000000038E-2</c:v>
                  </c:pt>
                  <c:pt idx="1">
                    <c:v>3.3854999999999968E-2</c:v>
                  </c:pt>
                  <c:pt idx="2">
                    <c:v>4.9399999999999999E-2</c:v>
                  </c:pt>
                </c:numCache>
              </c:numRef>
            </c:plus>
            <c:minus>
              <c:numRef>
                <c:f>set3!$V$12:$V$14</c:f>
                <c:numCache>
                  <c:formatCode>General</c:formatCode>
                  <c:ptCount val="3"/>
                  <c:pt idx="0">
                    <c:v>5.0785000000000038E-2</c:v>
                  </c:pt>
                  <c:pt idx="1">
                    <c:v>3.3854999999999968E-2</c:v>
                  </c:pt>
                  <c:pt idx="2">
                    <c:v>4.9399999999999999E-2</c:v>
                  </c:pt>
                </c:numCache>
              </c:numRef>
            </c:minus>
          </c:errBars>
          <c:cat>
            <c:strRef>
              <c:f>set3!$O$12:$O$14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set3!$T$12:$T$14</c:f>
              <c:numCache>
                <c:formatCode>0.00%</c:formatCode>
                <c:ptCount val="3"/>
                <c:pt idx="0">
                  <c:v>0.246785</c:v>
                </c:pt>
                <c:pt idx="1">
                  <c:v>0.81844499999999998</c:v>
                </c:pt>
                <c:pt idx="2">
                  <c:v>0.82120000000000004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0-F341-A6BC-EF705F6797C1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set3!$W$2:$W$4</c:f>
                <c:numCache>
                  <c:formatCode>General</c:formatCode>
                  <c:ptCount val="3"/>
                  <c:pt idx="0">
                    <c:v>1.1349999999999999E-3</c:v>
                  </c:pt>
                  <c:pt idx="1">
                    <c:v>1.0250000000000001E-3</c:v>
                  </c:pt>
                  <c:pt idx="2">
                    <c:v>1.9775000000000004E-2</c:v>
                  </c:pt>
                </c:numCache>
              </c:numRef>
            </c:plus>
            <c:minus>
              <c:numRef>
                <c:f>set3!$W$2:$W$4</c:f>
                <c:numCache>
                  <c:formatCode>General</c:formatCode>
                  <c:ptCount val="3"/>
                  <c:pt idx="0">
                    <c:v>1.1349999999999999E-3</c:v>
                  </c:pt>
                  <c:pt idx="1">
                    <c:v>1.0250000000000001E-3</c:v>
                  </c:pt>
                  <c:pt idx="2">
                    <c:v>1.9775000000000004E-2</c:v>
                  </c:pt>
                </c:numCache>
              </c:numRef>
            </c:minus>
          </c:errBars>
          <c:cat>
            <c:strRef>
              <c:f>set3!$O$2:$O$4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set3!$U$2:$U$4</c:f>
              <c:numCache>
                <c:formatCode>0.00%</c:formatCode>
                <c:ptCount val="3"/>
                <c:pt idx="0">
                  <c:v>1.665E-3</c:v>
                </c:pt>
                <c:pt idx="1">
                  <c:v>2.3050000000000002E-3</c:v>
                </c:pt>
                <c:pt idx="2">
                  <c:v>2.2825000000000002E-2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0-F341-A6BC-EF705F6797C1}"/>
            </c:ext>
          </c:extLst>
        </c:ser>
        <c:ser>
          <c:idx val="1"/>
          <c:order val="3"/>
          <c:tx>
            <c:v>T21</c:v>
          </c:tx>
          <c:spPr>
            <a:pattFill prst="pct5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set3!$W$12:$W$14</c:f>
                <c:numCache>
                  <c:formatCode>General</c:formatCode>
                  <c:ptCount val="3"/>
                  <c:pt idx="0">
                    <c:v>1.0299999999999999E-3</c:v>
                  </c:pt>
                  <c:pt idx="1">
                    <c:v>4.2599999999999999E-3</c:v>
                  </c:pt>
                  <c:pt idx="2">
                    <c:v>1.6754999999999999E-2</c:v>
                  </c:pt>
                </c:numCache>
              </c:numRef>
            </c:plus>
            <c:minus>
              <c:numRef>
                <c:f>set3!$W$12:$W$14</c:f>
                <c:numCache>
                  <c:formatCode>General</c:formatCode>
                  <c:ptCount val="3"/>
                  <c:pt idx="0">
                    <c:v>1.0299999999999999E-3</c:v>
                  </c:pt>
                  <c:pt idx="1">
                    <c:v>4.2599999999999999E-3</c:v>
                  </c:pt>
                  <c:pt idx="2">
                    <c:v>1.6754999999999999E-2</c:v>
                  </c:pt>
                </c:numCache>
              </c:numRef>
            </c:minus>
          </c:errBars>
          <c:cat>
            <c:strRef>
              <c:f>set3!$O$12:$O$14</c:f>
              <c:strCache>
                <c:ptCount val="3"/>
                <c:pt idx="0">
                  <c:v>d3</c:v>
                </c:pt>
                <c:pt idx="1">
                  <c:v>d4</c:v>
                </c:pt>
                <c:pt idx="2">
                  <c:v>d5</c:v>
                </c:pt>
              </c:strCache>
            </c:strRef>
          </c:cat>
          <c:val>
            <c:numRef>
              <c:f>set3!$U$12:$U$14</c:f>
              <c:numCache>
                <c:formatCode>0.00%</c:formatCode>
                <c:ptCount val="3"/>
                <c:pt idx="0">
                  <c:v>1.14E-3</c:v>
                </c:pt>
                <c:pt idx="1">
                  <c:v>5.4400000000000004E-3</c:v>
                </c:pt>
                <c:pt idx="2">
                  <c:v>1.8845000000000001E-2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0-F341-A6BC-EF705F679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653872"/>
        <c:axId val="1"/>
      </c:barChart>
      <c:catAx>
        <c:axId val="192365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53872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set3!$V$7:$V$8</c:f>
                <c:numCache>
                  <c:formatCode>General</c:formatCode>
                  <c:ptCount val="2"/>
                  <c:pt idx="0">
                    <c:v>0.13330000000000033</c:v>
                  </c:pt>
                  <c:pt idx="1">
                    <c:v>5.7500000000000093E-2</c:v>
                  </c:pt>
                </c:numCache>
              </c:numRef>
            </c:plus>
            <c:minus>
              <c:numRef>
                <c:f>set3!$V$7:$V$8</c:f>
                <c:numCache>
                  <c:formatCode>General</c:formatCode>
                  <c:ptCount val="2"/>
                  <c:pt idx="0">
                    <c:v>0.13330000000000033</c:v>
                  </c:pt>
                  <c:pt idx="1">
                    <c:v>5.7500000000000093E-2</c:v>
                  </c:pt>
                </c:numCache>
              </c:numRef>
            </c:minus>
          </c:errBars>
          <c:cat>
            <c:strRef>
              <c:f>set3!$O$7:$O$8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set3!$T$7:$T$8</c:f>
              <c:numCache>
                <c:formatCode>0.00%</c:formatCode>
                <c:ptCount val="2"/>
                <c:pt idx="0">
                  <c:v>0.64329999999999998</c:v>
                </c:pt>
                <c:pt idx="1">
                  <c:v>0.37490000000000001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1-854F-978E-0979686C8AF3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set3!$V$17:$V$18</c:f>
                <c:numCache>
                  <c:formatCode>General</c:formatCode>
                  <c:ptCount val="2"/>
                  <c:pt idx="0">
                    <c:v>7.8605000000000091E-2</c:v>
                  </c:pt>
                  <c:pt idx="1">
                    <c:v>4.4800000000000006E-2</c:v>
                  </c:pt>
                </c:numCache>
              </c:numRef>
            </c:plus>
            <c:minus>
              <c:numRef>
                <c:f>set3!$V$17:$V$18</c:f>
                <c:numCache>
                  <c:formatCode>General</c:formatCode>
                  <c:ptCount val="2"/>
                  <c:pt idx="0">
                    <c:v>7.8605000000000091E-2</c:v>
                  </c:pt>
                  <c:pt idx="1">
                    <c:v>4.4800000000000006E-2</c:v>
                  </c:pt>
                </c:numCache>
              </c:numRef>
            </c:minus>
          </c:errBars>
          <c:cat>
            <c:strRef>
              <c:f>set3!$O$7:$O$8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set3!$T$17:$T$18</c:f>
              <c:numCache>
                <c:formatCode>0.00%</c:formatCode>
                <c:ptCount val="2"/>
                <c:pt idx="0">
                  <c:v>0.71219500000000002</c:v>
                </c:pt>
                <c:pt idx="1">
                  <c:v>0.51130000000000009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1-854F-978E-0979686C8AF3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set3!$W$7:$W$8</c:f>
                <c:numCache>
                  <c:formatCode>General</c:formatCode>
                  <c:ptCount val="2"/>
                  <c:pt idx="0">
                    <c:v>3.5000000000000005E-4</c:v>
                  </c:pt>
                  <c:pt idx="1">
                    <c:v>2.1000000000000007E-3</c:v>
                  </c:pt>
                </c:numCache>
              </c:numRef>
            </c:plus>
            <c:minus>
              <c:numRef>
                <c:f>set3!$W$7:$W$8</c:f>
                <c:numCache>
                  <c:formatCode>General</c:formatCode>
                  <c:ptCount val="2"/>
                  <c:pt idx="0">
                    <c:v>3.5000000000000005E-4</c:v>
                  </c:pt>
                  <c:pt idx="1">
                    <c:v>2.1000000000000007E-3</c:v>
                  </c:pt>
                </c:numCache>
              </c:numRef>
            </c:minus>
          </c:errBars>
          <c:cat>
            <c:strRef>
              <c:f>set3!$O$7:$O$8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set3!$U$7:$U$8</c:f>
              <c:numCache>
                <c:formatCode>0.00%</c:formatCode>
                <c:ptCount val="2"/>
                <c:pt idx="0">
                  <c:v>2.7500000000000003E-3</c:v>
                </c:pt>
                <c:pt idx="1">
                  <c:v>3.3E-3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1-854F-978E-0979686C8AF3}"/>
            </c:ext>
          </c:extLst>
        </c:ser>
        <c:ser>
          <c:idx val="1"/>
          <c:order val="3"/>
          <c:tx>
            <c:v>T21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set3!$W$17:$W$18</c:f>
                <c:numCache>
                  <c:formatCode>General</c:formatCode>
                  <c:ptCount val="2"/>
                  <c:pt idx="0">
                    <c:v>1.7050000000000001E-3</c:v>
                  </c:pt>
                  <c:pt idx="1">
                    <c:v>4.550000000000002E-3</c:v>
                  </c:pt>
                </c:numCache>
              </c:numRef>
            </c:plus>
            <c:minus>
              <c:numRef>
                <c:f>set3!$W$17:$W$18</c:f>
                <c:numCache>
                  <c:formatCode>General</c:formatCode>
                  <c:ptCount val="2"/>
                  <c:pt idx="0">
                    <c:v>1.7050000000000001E-3</c:v>
                  </c:pt>
                  <c:pt idx="1">
                    <c:v>4.550000000000002E-3</c:v>
                  </c:pt>
                </c:numCache>
              </c:numRef>
            </c:minus>
          </c:errBars>
          <c:cat>
            <c:strRef>
              <c:f>set3!$O$7:$O$8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set3!$U$17:$U$18</c:f>
              <c:numCache>
                <c:formatCode>0.00%</c:formatCode>
                <c:ptCount val="2"/>
                <c:pt idx="0">
                  <c:v>3.3950000000000004E-3</c:v>
                </c:pt>
                <c:pt idx="1">
                  <c:v>8.1499999999999993E-3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1-854F-978E-0979686C8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590288"/>
        <c:axId val="1"/>
      </c:barChart>
      <c:catAx>
        <c:axId val="192359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590288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set3!$V$5:$V$6</c:f>
                <c:numCache>
                  <c:formatCode>General</c:formatCode>
                  <c:ptCount val="2"/>
                  <c:pt idx="0">
                    <c:v>7.9299999999999926E-2</c:v>
                  </c:pt>
                  <c:pt idx="1">
                    <c:v>9.0904999999999417E-2</c:v>
                  </c:pt>
                </c:numCache>
              </c:numRef>
            </c:plus>
            <c:minus>
              <c:numRef>
                <c:f>set3!$V$5:$V$6</c:f>
                <c:numCache>
                  <c:formatCode>General</c:formatCode>
                  <c:ptCount val="2"/>
                  <c:pt idx="0">
                    <c:v>7.9299999999999926E-2</c:v>
                  </c:pt>
                  <c:pt idx="1">
                    <c:v>9.0904999999999417E-2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set3!$T$5:$T$6</c:f>
              <c:numCache>
                <c:formatCode>0.00%</c:formatCode>
                <c:ptCount val="2"/>
                <c:pt idx="0">
                  <c:v>0.86399999999999999</c:v>
                </c:pt>
                <c:pt idx="1">
                  <c:v>0.81370500000000001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0-0941-B4DE-E61F779E00DE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set3!$V$15:$V$16</c:f>
                <c:numCache>
                  <c:formatCode>General</c:formatCode>
                  <c:ptCount val="2"/>
                  <c:pt idx="0">
                    <c:v>1.8600000000000005E-2</c:v>
                  </c:pt>
                  <c:pt idx="1">
                    <c:v>3.5200000000000009E-2</c:v>
                  </c:pt>
                </c:numCache>
              </c:numRef>
            </c:plus>
            <c:minus>
              <c:numRef>
                <c:f>set3!$V$15:$V$16</c:f>
                <c:numCache>
                  <c:formatCode>General</c:formatCode>
                  <c:ptCount val="2"/>
                  <c:pt idx="0">
                    <c:v>1.8600000000000005E-2</c:v>
                  </c:pt>
                  <c:pt idx="1">
                    <c:v>3.5200000000000009E-2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set3!$T$15:$T$16</c:f>
              <c:numCache>
                <c:formatCode>0.00%</c:formatCode>
                <c:ptCount val="2"/>
                <c:pt idx="0">
                  <c:v>0.83640000000000003</c:v>
                </c:pt>
                <c:pt idx="1">
                  <c:v>0.85189999999999999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0-0941-B4DE-E61F779E00DE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set3!$W$5:$W$6</c:f>
                <c:numCache>
                  <c:formatCode>General</c:formatCode>
                  <c:ptCount val="2"/>
                  <c:pt idx="0">
                    <c:v>1.1250000000000001E-3</c:v>
                  </c:pt>
                  <c:pt idx="1">
                    <c:v>2.6374999999999999E-2</c:v>
                  </c:pt>
                </c:numCache>
              </c:numRef>
            </c:plus>
            <c:minus>
              <c:numRef>
                <c:f>set3!$W$5:$W$6</c:f>
                <c:numCache>
                  <c:formatCode>General</c:formatCode>
                  <c:ptCount val="2"/>
                  <c:pt idx="0">
                    <c:v>1.1250000000000001E-3</c:v>
                  </c:pt>
                  <c:pt idx="1">
                    <c:v>2.6374999999999999E-2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set3!$U$5:$U$6</c:f>
              <c:numCache>
                <c:formatCode>0.00%</c:formatCode>
                <c:ptCount val="2"/>
                <c:pt idx="0">
                  <c:v>1.825E-3</c:v>
                </c:pt>
                <c:pt idx="1">
                  <c:v>2.7224999999999996E-2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0-0941-B4DE-E61F779E00DE}"/>
            </c:ext>
          </c:extLst>
        </c:ser>
        <c:ser>
          <c:idx val="1"/>
          <c:order val="3"/>
          <c:tx>
            <c:v>T21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set3!$W$15:$W$16</c:f>
                <c:numCache>
                  <c:formatCode>General</c:formatCode>
                  <c:ptCount val="2"/>
                  <c:pt idx="0">
                    <c:v>6.0000000000000006E-4</c:v>
                  </c:pt>
                  <c:pt idx="1">
                    <c:v>1.3625E-2</c:v>
                  </c:pt>
                </c:numCache>
              </c:numRef>
            </c:plus>
            <c:minus>
              <c:numRef>
                <c:f>set3!$W$15:$W$16</c:f>
                <c:numCache>
                  <c:formatCode>General</c:formatCode>
                  <c:ptCount val="2"/>
                  <c:pt idx="0">
                    <c:v>6.0000000000000006E-4</c:v>
                  </c:pt>
                  <c:pt idx="1">
                    <c:v>1.3625E-2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set3!$U$15:$U$16</c:f>
              <c:numCache>
                <c:formatCode>0.00%</c:formatCode>
                <c:ptCount val="2"/>
                <c:pt idx="0">
                  <c:v>1.9500000000000001E-3</c:v>
                </c:pt>
                <c:pt idx="1">
                  <c:v>1.5075E-2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20-0941-B4DE-E61F779E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917344"/>
        <c:axId val="1"/>
      </c:barChart>
      <c:catAx>
        <c:axId val="142691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917344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ra-sag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D21</c:v>
          </c:tx>
          <c:spPr>
            <a:solidFill>
              <a:schemeClr val="accent2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set3!$V$9:$V$10</c:f>
                <c:numCache>
                  <c:formatCode>General</c:formatCode>
                  <c:ptCount val="2"/>
                  <c:pt idx="0">
                    <c:v>0.12189999999999963</c:v>
                  </c:pt>
                  <c:pt idx="1">
                    <c:v>5.2950000000000046E-2</c:v>
                  </c:pt>
                </c:numCache>
              </c:numRef>
            </c:plus>
            <c:minus>
              <c:numRef>
                <c:f>set3!$V$9:$V$10</c:f>
                <c:numCache>
                  <c:formatCode>General</c:formatCode>
                  <c:ptCount val="2"/>
                  <c:pt idx="0">
                    <c:v>0.12189999999999963</c:v>
                  </c:pt>
                  <c:pt idx="1">
                    <c:v>5.2950000000000046E-2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set3!$T$9:$T$10</c:f>
              <c:numCache>
                <c:formatCode>0.00%</c:formatCode>
                <c:ptCount val="2"/>
                <c:pt idx="0">
                  <c:v>0.70960000000000001</c:v>
                </c:pt>
                <c:pt idx="1">
                  <c:v>0.45205000000000001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9-5E42-899B-80FCE60E409F}"/>
            </c:ext>
          </c:extLst>
        </c:ser>
        <c:ser>
          <c:idx val="0"/>
          <c:order val="1"/>
          <c:tx>
            <c:v>T21</c:v>
          </c:tx>
          <c:spPr>
            <a:pattFill prst="pct50">
              <a:fgClr>
                <a:schemeClr val="accent2"/>
              </a:fgClr>
              <a:bgClr>
                <a:schemeClr val="bg1"/>
              </a:bgClr>
            </a:patt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set3!$V$19:$V$20</c:f>
                <c:numCache>
                  <c:formatCode>General</c:formatCode>
                  <c:ptCount val="2"/>
                  <c:pt idx="0">
                    <c:v>0.15587500000000026</c:v>
                  </c:pt>
                  <c:pt idx="1">
                    <c:v>5.8849999999999805E-2</c:v>
                  </c:pt>
                </c:numCache>
              </c:numRef>
            </c:plus>
            <c:minus>
              <c:numRef>
                <c:f>set3!$V$19:$V$20</c:f>
                <c:numCache>
                  <c:formatCode>General</c:formatCode>
                  <c:ptCount val="2"/>
                  <c:pt idx="0">
                    <c:v>0.15587500000000026</c:v>
                  </c:pt>
                  <c:pt idx="1">
                    <c:v>5.8849999999999805E-2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set3!$T$19:$T$20</c:f>
              <c:numCache>
                <c:formatCode>0.00%</c:formatCode>
                <c:ptCount val="2"/>
                <c:pt idx="0">
                  <c:v>0.53107499999999996</c:v>
                </c:pt>
                <c:pt idx="1">
                  <c:v>0.51634999999999998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9-5E42-899B-80FCE60E409F}"/>
            </c:ext>
          </c:extLst>
        </c:ser>
        <c:ser>
          <c:idx val="3"/>
          <c:order val="2"/>
          <c:tx>
            <c:v>D21</c:v>
          </c:tx>
          <c:spPr>
            <a:solidFill>
              <a:schemeClr val="accent1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set3!$W$9:$W$10</c:f>
                <c:numCache>
                  <c:formatCode>General</c:formatCode>
                  <c:ptCount val="2"/>
                  <c:pt idx="0">
                    <c:v>7.5000000000000002E-4</c:v>
                  </c:pt>
                  <c:pt idx="1">
                    <c:v>2.15E-3</c:v>
                  </c:pt>
                </c:numCache>
              </c:numRef>
            </c:plus>
            <c:minus>
              <c:numRef>
                <c:f>set3!$W$9:$W$10</c:f>
                <c:numCache>
                  <c:formatCode>General</c:formatCode>
                  <c:ptCount val="2"/>
                  <c:pt idx="0">
                    <c:v>7.5000000000000002E-4</c:v>
                  </c:pt>
                  <c:pt idx="1">
                    <c:v>2.15E-3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set3!$U$9:$U$10</c:f>
              <c:numCache>
                <c:formatCode>0.00%</c:formatCode>
                <c:ptCount val="2"/>
                <c:pt idx="0">
                  <c:v>2.5500000000000002E-3</c:v>
                </c:pt>
                <c:pt idx="1">
                  <c:v>6.6500000000000005E-3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9-5E42-899B-80FCE60E409F}"/>
            </c:ext>
          </c:extLst>
        </c:ser>
        <c:ser>
          <c:idx val="1"/>
          <c:order val="3"/>
          <c:tx>
            <c:v>T21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set3!$W$19:$W$20</c:f>
                <c:numCache>
                  <c:formatCode>General</c:formatCode>
                  <c:ptCount val="2"/>
                  <c:pt idx="0">
                    <c:v>4.2500000000000003E-4</c:v>
                  </c:pt>
                  <c:pt idx="1">
                    <c:v>3.8999999999999981E-3</c:v>
                  </c:pt>
                </c:numCache>
              </c:numRef>
            </c:plus>
            <c:minus>
              <c:numRef>
                <c:f>set3!$W$19:$W$20</c:f>
                <c:numCache>
                  <c:formatCode>General</c:formatCode>
                  <c:ptCount val="2"/>
                  <c:pt idx="0">
                    <c:v>4.2500000000000003E-4</c:v>
                  </c:pt>
                  <c:pt idx="1">
                    <c:v>3.8999999999999981E-3</c:v>
                  </c:pt>
                </c:numCache>
              </c:numRef>
            </c:minus>
          </c:errBars>
          <c:cat>
            <c:strRef>
              <c:f>set3!$O$5:$O$6</c:f>
              <c:strCache>
                <c:ptCount val="2"/>
                <c:pt idx="0">
                  <c:v>d4</c:v>
                </c:pt>
                <c:pt idx="1">
                  <c:v>d5</c:v>
                </c:pt>
              </c:strCache>
            </c:strRef>
          </c:cat>
          <c:val>
            <c:numRef>
              <c:f>set3!$U$19:$U$20</c:f>
              <c:numCache>
                <c:formatCode>0.00%</c:formatCode>
                <c:ptCount val="2"/>
                <c:pt idx="0">
                  <c:v>3.6250000000000002E-3</c:v>
                </c:pt>
                <c:pt idx="1">
                  <c:v>9.0000000000000011E-3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A9-5E42-899B-80FCE60E4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848944"/>
        <c:axId val="1"/>
      </c:barChart>
      <c:catAx>
        <c:axId val="142684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848944"/>
        <c:crosses val="autoZero"/>
        <c:crossBetween val="between"/>
      </c:valAx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520700</xdr:colOff>
      <xdr:row>32</xdr:row>
      <xdr:rowOff>25400</xdr:rowOff>
    </xdr:from>
    <xdr:to>
      <xdr:col>17</xdr:col>
      <xdr:colOff>139700</xdr:colOff>
      <xdr:row>48</xdr:row>
      <xdr:rowOff>127000</xdr:rowOff>
    </xdr:to>
    <xdr:graphicFrame macro="">
      <xdr:nvGraphicFramePr>
        <xdr:cNvPr id="389361" name="Chart 1">
          <a:extLst>
            <a:ext uri="{FF2B5EF4-FFF2-40B4-BE49-F238E27FC236}">
              <a16:creationId xmlns:a16="http://schemas.microsoft.com/office/drawing/2014/main" id="{D14AE310-EF58-BAA7-84C6-0CBA6B702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520700</xdr:colOff>
      <xdr:row>32</xdr:row>
      <xdr:rowOff>25400</xdr:rowOff>
    </xdr:from>
    <xdr:to>
      <xdr:col>23</xdr:col>
      <xdr:colOff>139700</xdr:colOff>
      <xdr:row>48</xdr:row>
      <xdr:rowOff>127000</xdr:rowOff>
    </xdr:to>
    <xdr:graphicFrame macro="">
      <xdr:nvGraphicFramePr>
        <xdr:cNvPr id="389362" name="Chart 3">
          <a:extLst>
            <a:ext uri="{FF2B5EF4-FFF2-40B4-BE49-F238E27FC236}">
              <a16:creationId xmlns:a16="http://schemas.microsoft.com/office/drawing/2014/main" id="{DB05CC87-D33F-4A4B-0A26-F8EDCBDB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381000</xdr:colOff>
      <xdr:row>1</xdr:row>
      <xdr:rowOff>50800</xdr:rowOff>
    </xdr:from>
    <xdr:to>
      <xdr:col>29</xdr:col>
      <xdr:colOff>0</xdr:colOff>
      <xdr:row>17</xdr:row>
      <xdr:rowOff>139700</xdr:rowOff>
    </xdr:to>
    <xdr:graphicFrame macro="">
      <xdr:nvGraphicFramePr>
        <xdr:cNvPr id="389363" name="Chart 1">
          <a:extLst>
            <a:ext uri="{FF2B5EF4-FFF2-40B4-BE49-F238E27FC236}">
              <a16:creationId xmlns:a16="http://schemas.microsoft.com/office/drawing/2014/main" id="{21086B82-1FC8-5048-1427-DCC7789B2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215900</xdr:colOff>
      <xdr:row>1</xdr:row>
      <xdr:rowOff>101600</xdr:rowOff>
    </xdr:from>
    <xdr:to>
      <xdr:col>33</xdr:col>
      <xdr:colOff>292100</xdr:colOff>
      <xdr:row>18</xdr:row>
      <xdr:rowOff>25400</xdr:rowOff>
    </xdr:to>
    <xdr:graphicFrame macro="">
      <xdr:nvGraphicFramePr>
        <xdr:cNvPr id="389364" name="Chart 3">
          <a:extLst>
            <a:ext uri="{FF2B5EF4-FFF2-40B4-BE49-F238E27FC236}">
              <a16:creationId xmlns:a16="http://schemas.microsoft.com/office/drawing/2014/main" id="{9C5F102B-06F9-8C58-7C25-6E6CA500A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279400</xdr:colOff>
      <xdr:row>19</xdr:row>
      <xdr:rowOff>88900</xdr:rowOff>
    </xdr:from>
    <xdr:to>
      <xdr:col>27</xdr:col>
      <xdr:colOff>355600</xdr:colOff>
      <xdr:row>36</xdr:row>
      <xdr:rowOff>12700</xdr:rowOff>
    </xdr:to>
    <xdr:graphicFrame macro="">
      <xdr:nvGraphicFramePr>
        <xdr:cNvPr id="389365" name="Chart 3">
          <a:extLst>
            <a:ext uri="{FF2B5EF4-FFF2-40B4-BE49-F238E27FC236}">
              <a16:creationId xmlns:a16="http://schemas.microsoft.com/office/drawing/2014/main" id="{92691455-F442-83F1-13F8-9F442BDC3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635000</xdr:colOff>
      <xdr:row>19</xdr:row>
      <xdr:rowOff>101600</xdr:rowOff>
    </xdr:from>
    <xdr:to>
      <xdr:col>31</xdr:col>
      <xdr:colOff>711200</xdr:colOff>
      <xdr:row>36</xdr:row>
      <xdr:rowOff>25400</xdr:rowOff>
    </xdr:to>
    <xdr:graphicFrame macro="">
      <xdr:nvGraphicFramePr>
        <xdr:cNvPr id="389366" name="Chart 3">
          <a:extLst>
            <a:ext uri="{FF2B5EF4-FFF2-40B4-BE49-F238E27FC236}">
              <a16:creationId xmlns:a16="http://schemas.microsoft.com/office/drawing/2014/main" id="{2E475EEC-C1B8-72A4-105A-8D8582E9F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520700</xdr:colOff>
      <xdr:row>32</xdr:row>
      <xdr:rowOff>25400</xdr:rowOff>
    </xdr:from>
    <xdr:to>
      <xdr:col>18</xdr:col>
      <xdr:colOff>139700</xdr:colOff>
      <xdr:row>48</xdr:row>
      <xdr:rowOff>127000</xdr:rowOff>
    </xdr:to>
    <xdr:graphicFrame macro="">
      <xdr:nvGraphicFramePr>
        <xdr:cNvPr id="298264" name="Chart 1">
          <a:extLst>
            <a:ext uri="{FF2B5EF4-FFF2-40B4-BE49-F238E27FC236}">
              <a16:creationId xmlns:a16="http://schemas.microsoft.com/office/drawing/2014/main" id="{F5415667-4E29-E727-B245-AD0F7ECC6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520700</xdr:colOff>
      <xdr:row>32</xdr:row>
      <xdr:rowOff>25400</xdr:rowOff>
    </xdr:from>
    <xdr:to>
      <xdr:col>24</xdr:col>
      <xdr:colOff>139700</xdr:colOff>
      <xdr:row>48</xdr:row>
      <xdr:rowOff>127000</xdr:rowOff>
    </xdr:to>
    <xdr:graphicFrame macro="">
      <xdr:nvGraphicFramePr>
        <xdr:cNvPr id="298265" name="Chart 3">
          <a:extLst>
            <a:ext uri="{FF2B5EF4-FFF2-40B4-BE49-F238E27FC236}">
              <a16:creationId xmlns:a16="http://schemas.microsoft.com/office/drawing/2014/main" id="{608DF260-74C5-D93A-730A-3D03E17A5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381000</xdr:colOff>
      <xdr:row>1</xdr:row>
      <xdr:rowOff>50800</xdr:rowOff>
    </xdr:from>
    <xdr:to>
      <xdr:col>30</xdr:col>
      <xdr:colOff>0</xdr:colOff>
      <xdr:row>17</xdr:row>
      <xdr:rowOff>139700</xdr:rowOff>
    </xdr:to>
    <xdr:graphicFrame macro="">
      <xdr:nvGraphicFramePr>
        <xdr:cNvPr id="298266" name="Chart 1">
          <a:extLst>
            <a:ext uri="{FF2B5EF4-FFF2-40B4-BE49-F238E27FC236}">
              <a16:creationId xmlns:a16="http://schemas.microsoft.com/office/drawing/2014/main" id="{773CF770-FF1F-38C8-FE33-7EF23A162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215900</xdr:colOff>
      <xdr:row>1</xdr:row>
      <xdr:rowOff>101600</xdr:rowOff>
    </xdr:from>
    <xdr:to>
      <xdr:col>34</xdr:col>
      <xdr:colOff>292100</xdr:colOff>
      <xdr:row>18</xdr:row>
      <xdr:rowOff>25400</xdr:rowOff>
    </xdr:to>
    <xdr:graphicFrame macro="">
      <xdr:nvGraphicFramePr>
        <xdr:cNvPr id="298267" name="Chart 3">
          <a:extLst>
            <a:ext uri="{FF2B5EF4-FFF2-40B4-BE49-F238E27FC236}">
              <a16:creationId xmlns:a16="http://schemas.microsoft.com/office/drawing/2014/main" id="{5CFD7D2D-AB8A-4150-F35C-3DC27FB7C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279400</xdr:colOff>
      <xdr:row>19</xdr:row>
      <xdr:rowOff>88900</xdr:rowOff>
    </xdr:from>
    <xdr:to>
      <xdr:col>28</xdr:col>
      <xdr:colOff>355600</xdr:colOff>
      <xdr:row>36</xdr:row>
      <xdr:rowOff>12700</xdr:rowOff>
    </xdr:to>
    <xdr:graphicFrame macro="">
      <xdr:nvGraphicFramePr>
        <xdr:cNvPr id="298268" name="Chart 3">
          <a:extLst>
            <a:ext uri="{FF2B5EF4-FFF2-40B4-BE49-F238E27FC236}">
              <a16:creationId xmlns:a16="http://schemas.microsoft.com/office/drawing/2014/main" id="{0F46E511-9CF9-770C-A016-73C43BDDF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635000</xdr:colOff>
      <xdr:row>19</xdr:row>
      <xdr:rowOff>101600</xdr:rowOff>
    </xdr:from>
    <xdr:to>
      <xdr:col>32</xdr:col>
      <xdr:colOff>711200</xdr:colOff>
      <xdr:row>36</xdr:row>
      <xdr:rowOff>25400</xdr:rowOff>
    </xdr:to>
    <xdr:graphicFrame macro="">
      <xdr:nvGraphicFramePr>
        <xdr:cNvPr id="298269" name="Chart 3">
          <a:extLst>
            <a:ext uri="{FF2B5EF4-FFF2-40B4-BE49-F238E27FC236}">
              <a16:creationId xmlns:a16="http://schemas.microsoft.com/office/drawing/2014/main" id="{C585EF0B-9190-1825-ED02-EDCB7507B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63C0-2838-5F44-9C61-9B794822602C}">
  <dimension ref="A1:R73"/>
  <sheetViews>
    <sheetView tabSelected="1" topLeftCell="A34" workbookViewId="0">
      <selection activeCell="F79" sqref="F79"/>
    </sheetView>
  </sheetViews>
  <sheetFormatPr baseColWidth="10" defaultColWidth="8.83203125" defaultRowHeight="13" x14ac:dyDescent="0.15"/>
  <sheetData>
    <row r="1" spans="1:18" ht="15" x14ac:dyDescent="0.2">
      <c r="A1" t="s">
        <v>96</v>
      </c>
      <c r="B1" t="s">
        <v>97</v>
      </c>
      <c r="C1" s="7" t="s">
        <v>98</v>
      </c>
      <c r="D1" s="8" t="s">
        <v>76</v>
      </c>
      <c r="E1" s="8" t="s">
        <v>99</v>
      </c>
      <c r="F1" s="1" t="s">
        <v>113</v>
      </c>
      <c r="G1" s="8" t="s">
        <v>108</v>
      </c>
      <c r="H1" s="8" t="s">
        <v>100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105</v>
      </c>
      <c r="N1" s="8" t="s">
        <v>106</v>
      </c>
      <c r="O1" s="8" t="s">
        <v>107</v>
      </c>
    </row>
    <row r="2" spans="1:18" x14ac:dyDescent="0.15">
      <c r="A2" s="10" t="s">
        <v>4</v>
      </c>
      <c r="B2" s="10"/>
      <c r="C2" s="11">
        <v>1</v>
      </c>
      <c r="D2" s="11" t="s">
        <v>110</v>
      </c>
      <c r="E2" s="11" t="s">
        <v>109</v>
      </c>
      <c r="F2" s="11" t="s">
        <v>109</v>
      </c>
      <c r="G2" s="11">
        <v>0</v>
      </c>
      <c r="H2" s="10">
        <v>3</v>
      </c>
      <c r="I2" s="11" t="s">
        <v>82</v>
      </c>
      <c r="J2" s="12">
        <v>0.69099999999999995</v>
      </c>
      <c r="K2" s="12">
        <v>0.307</v>
      </c>
      <c r="L2" s="12">
        <v>1.1999999999999999E-3</v>
      </c>
      <c r="M2" s="12">
        <v>9.7000000000000005E-4</v>
      </c>
      <c r="N2" s="12">
        <f>SUM(K2:L2)</f>
        <v>0.30819999999999997</v>
      </c>
      <c r="O2" s="12">
        <f>SUM(L2:M2)</f>
        <v>2.1700000000000001E-3</v>
      </c>
      <c r="P2" s="10"/>
      <c r="Q2" s="10"/>
      <c r="R2" s="10"/>
    </row>
    <row r="3" spans="1:18" x14ac:dyDescent="0.15">
      <c r="A3" s="10" t="s">
        <v>5</v>
      </c>
      <c r="B3" s="11"/>
      <c r="C3" s="11">
        <v>2</v>
      </c>
      <c r="D3" s="11" t="s">
        <v>110</v>
      </c>
      <c r="E3" s="11" t="s">
        <v>109</v>
      </c>
      <c r="F3" s="11" t="s">
        <v>109</v>
      </c>
      <c r="G3" s="11">
        <v>0</v>
      </c>
      <c r="H3" s="11">
        <v>3</v>
      </c>
      <c r="I3" s="11" t="s">
        <v>82</v>
      </c>
      <c r="J3" s="12">
        <v>0.72299999999999998</v>
      </c>
      <c r="K3" s="12">
        <v>0.27500000000000002</v>
      </c>
      <c r="L3" s="12">
        <v>1.1000000000000001E-3</v>
      </c>
      <c r="M3" s="12">
        <v>1.1000000000000001E-3</v>
      </c>
      <c r="N3" s="12">
        <f t="shared" ref="N3:N66" si="0">SUM(K3:L3)</f>
        <v>0.27610000000000001</v>
      </c>
      <c r="O3" s="12">
        <f t="shared" ref="O3:O66" si="1">SUM(L3:M3)</f>
        <v>2.2000000000000001E-3</v>
      </c>
      <c r="P3" s="10"/>
      <c r="Q3" s="10"/>
      <c r="R3" s="10"/>
    </row>
    <row r="4" spans="1:18" x14ac:dyDescent="0.15">
      <c r="A4" s="10" t="s">
        <v>8</v>
      </c>
      <c r="B4" s="10"/>
      <c r="C4" s="11">
        <v>1</v>
      </c>
      <c r="D4" s="11" t="s">
        <v>110</v>
      </c>
      <c r="E4" s="11" t="s">
        <v>109</v>
      </c>
      <c r="F4" s="11" t="s">
        <v>109</v>
      </c>
      <c r="G4" s="11">
        <v>0</v>
      </c>
      <c r="H4" s="10">
        <v>4</v>
      </c>
      <c r="I4" s="11" t="s">
        <v>83</v>
      </c>
      <c r="J4" s="12">
        <v>3.9899999999999998E-2</v>
      </c>
      <c r="K4" s="12">
        <v>0.95099999999999996</v>
      </c>
      <c r="L4" s="12">
        <v>8.5000000000000006E-3</v>
      </c>
      <c r="M4" s="12">
        <v>6.8999999999999997E-4</v>
      </c>
      <c r="N4" s="12">
        <f t="shared" si="0"/>
        <v>0.95949999999999991</v>
      </c>
      <c r="O4" s="12">
        <f t="shared" si="1"/>
        <v>9.1900000000000003E-3</v>
      </c>
      <c r="P4" s="10"/>
      <c r="Q4" s="10"/>
      <c r="R4" s="10"/>
    </row>
    <row r="5" spans="1:18" x14ac:dyDescent="0.15">
      <c r="A5" s="10" t="s">
        <v>9</v>
      </c>
      <c r="B5" s="10"/>
      <c r="C5" s="11">
        <v>2</v>
      </c>
      <c r="D5" s="11" t="s">
        <v>110</v>
      </c>
      <c r="E5" s="11" t="s">
        <v>109</v>
      </c>
      <c r="F5" s="11" t="s">
        <v>109</v>
      </c>
      <c r="G5" s="11">
        <v>0</v>
      </c>
      <c r="H5" s="10">
        <v>4</v>
      </c>
      <c r="I5" s="11" t="s">
        <v>83</v>
      </c>
      <c r="J5" s="12">
        <v>0.191</v>
      </c>
      <c r="K5" s="12">
        <v>0.80800000000000005</v>
      </c>
      <c r="L5" s="12">
        <v>5.5999999999999995E-4</v>
      </c>
      <c r="M5" s="12">
        <v>2.2000000000000001E-4</v>
      </c>
      <c r="N5" s="12">
        <f t="shared" si="0"/>
        <v>0.80856000000000006</v>
      </c>
      <c r="O5" s="12">
        <f t="shared" si="1"/>
        <v>7.7999999999999999E-4</v>
      </c>
      <c r="P5" s="10"/>
      <c r="Q5" s="10"/>
      <c r="R5" s="10"/>
    </row>
    <row r="6" spans="1:18" x14ac:dyDescent="0.15">
      <c r="A6" s="10" t="s">
        <v>24</v>
      </c>
      <c r="B6" s="10"/>
      <c r="C6" s="11">
        <v>1</v>
      </c>
      <c r="D6" s="11" t="s">
        <v>110</v>
      </c>
      <c r="E6" s="11" t="s">
        <v>109</v>
      </c>
      <c r="F6" s="11" t="s">
        <v>109</v>
      </c>
      <c r="G6" s="11">
        <v>0</v>
      </c>
      <c r="H6" s="10">
        <v>5</v>
      </c>
      <c r="I6" s="11" t="s">
        <v>87</v>
      </c>
      <c r="J6" s="12">
        <v>0.14899999999999999</v>
      </c>
      <c r="K6" s="12">
        <v>0.83499999999999996</v>
      </c>
      <c r="L6" s="12">
        <v>1.37E-2</v>
      </c>
      <c r="M6" s="12">
        <v>1.4E-3</v>
      </c>
      <c r="N6" s="12">
        <f t="shared" si="0"/>
        <v>0.84870000000000001</v>
      </c>
      <c r="O6" s="12">
        <f t="shared" si="1"/>
        <v>1.5100000000000001E-2</v>
      </c>
      <c r="P6" s="10"/>
      <c r="Q6" s="10"/>
      <c r="R6" s="10"/>
    </row>
    <row r="7" spans="1:18" x14ac:dyDescent="0.15">
      <c r="A7" s="10" t="s">
        <v>25</v>
      </c>
      <c r="B7" s="10"/>
      <c r="C7" s="11">
        <v>2</v>
      </c>
      <c r="D7" s="11" t="s">
        <v>110</v>
      </c>
      <c r="E7" s="11" t="s">
        <v>109</v>
      </c>
      <c r="F7" s="11" t="s">
        <v>109</v>
      </c>
      <c r="G7" s="11">
        <v>0</v>
      </c>
      <c r="H7" s="10">
        <v>5</v>
      </c>
      <c r="I7" s="11" t="s">
        <v>87</v>
      </c>
      <c r="J7" s="12">
        <v>0.29199999999999998</v>
      </c>
      <c r="K7" s="12">
        <v>0.67300000000000004</v>
      </c>
      <c r="L7" s="12">
        <v>3.04E-2</v>
      </c>
      <c r="M7" s="12">
        <v>4.7000000000000002E-3</v>
      </c>
      <c r="N7" s="12">
        <f t="shared" si="0"/>
        <v>0.70340000000000003</v>
      </c>
      <c r="O7" s="12">
        <f t="shared" si="1"/>
        <v>3.5099999999999999E-2</v>
      </c>
      <c r="P7" s="10"/>
      <c r="Q7" s="10"/>
      <c r="R7" s="10"/>
    </row>
    <row r="8" spans="1:18" x14ac:dyDescent="0.15">
      <c r="A8" s="10" t="s">
        <v>12</v>
      </c>
      <c r="B8" s="10"/>
      <c r="C8" s="11">
        <v>1</v>
      </c>
      <c r="D8" s="11" t="s">
        <v>110</v>
      </c>
      <c r="E8" s="11" t="s">
        <v>84</v>
      </c>
      <c r="F8" s="11" t="s">
        <v>84</v>
      </c>
      <c r="G8" s="11">
        <v>1</v>
      </c>
      <c r="H8" s="10">
        <v>4</v>
      </c>
      <c r="I8" s="11" t="s">
        <v>83</v>
      </c>
      <c r="J8" s="12">
        <v>4.4200000000000003E-2</v>
      </c>
      <c r="K8" s="12">
        <v>0.94799999999999995</v>
      </c>
      <c r="L8" s="12">
        <v>6.7999999999999996E-3</v>
      </c>
      <c r="M8" s="12">
        <v>5.5000000000000003E-4</v>
      </c>
      <c r="N8" s="12">
        <f t="shared" si="0"/>
        <v>0.95479999999999998</v>
      </c>
      <c r="O8" s="12">
        <f t="shared" si="1"/>
        <v>7.3499999999999998E-3</v>
      </c>
      <c r="P8" s="10"/>
      <c r="Q8" s="10"/>
      <c r="R8" s="10"/>
    </row>
    <row r="9" spans="1:18" x14ac:dyDescent="0.15">
      <c r="A9" s="10" t="s">
        <v>13</v>
      </c>
      <c r="B9" s="10"/>
      <c r="C9" s="11">
        <v>2</v>
      </c>
      <c r="D9" s="11" t="s">
        <v>110</v>
      </c>
      <c r="E9" s="11" t="s">
        <v>84</v>
      </c>
      <c r="F9" s="11" t="s">
        <v>84</v>
      </c>
      <c r="G9" s="11">
        <v>1</v>
      </c>
      <c r="H9" s="10">
        <v>4</v>
      </c>
      <c r="I9" s="11" t="s">
        <v>83</v>
      </c>
      <c r="J9" s="12">
        <v>9.3600000000000003E-2</v>
      </c>
      <c r="K9" s="12">
        <v>0.90400000000000003</v>
      </c>
      <c r="L9" s="12">
        <v>1.6000000000000001E-3</v>
      </c>
      <c r="M9" s="12">
        <v>5.5000000000000003E-4</v>
      </c>
      <c r="N9" s="12">
        <f t="shared" si="0"/>
        <v>0.90560000000000007</v>
      </c>
      <c r="O9" s="12">
        <f t="shared" si="1"/>
        <v>2.15E-3</v>
      </c>
      <c r="P9" s="10"/>
      <c r="Q9" s="10"/>
      <c r="R9" s="10"/>
    </row>
    <row r="10" spans="1:18" x14ac:dyDescent="0.15">
      <c r="A10" s="10" t="s">
        <v>28</v>
      </c>
      <c r="B10" s="10"/>
      <c r="C10" s="11">
        <v>1</v>
      </c>
      <c r="D10" s="11" t="s">
        <v>110</v>
      </c>
      <c r="E10" s="11" t="s">
        <v>84</v>
      </c>
      <c r="F10" s="11" t="s">
        <v>84</v>
      </c>
      <c r="G10" s="11">
        <v>1</v>
      </c>
      <c r="H10" s="10">
        <v>5</v>
      </c>
      <c r="I10" s="11" t="s">
        <v>87</v>
      </c>
      <c r="J10" s="12">
        <v>0.121</v>
      </c>
      <c r="K10" s="12">
        <v>0.86799999999999999</v>
      </c>
      <c r="L10" s="12">
        <v>1.04E-2</v>
      </c>
      <c r="M10" s="12">
        <v>8.0999999999999996E-4</v>
      </c>
      <c r="N10" s="12">
        <f t="shared" si="0"/>
        <v>0.87839999999999996</v>
      </c>
      <c r="O10" s="12">
        <f t="shared" si="1"/>
        <v>1.1209999999999999E-2</v>
      </c>
      <c r="P10" s="10"/>
      <c r="Q10" s="10"/>
      <c r="R10" s="10"/>
    </row>
    <row r="11" spans="1:18" x14ac:dyDescent="0.15">
      <c r="A11" s="10" t="s">
        <v>29</v>
      </c>
      <c r="B11" s="10"/>
      <c r="C11" s="11">
        <v>2</v>
      </c>
      <c r="D11" s="11" t="s">
        <v>110</v>
      </c>
      <c r="E11" s="11" t="s">
        <v>84</v>
      </c>
      <c r="F11" s="11" t="s">
        <v>84</v>
      </c>
      <c r="G11" s="11">
        <v>1</v>
      </c>
      <c r="H11" s="10">
        <v>5</v>
      </c>
      <c r="I11" s="11" t="s">
        <v>87</v>
      </c>
      <c r="J11" s="12">
        <v>0.109</v>
      </c>
      <c r="K11" s="12">
        <v>0.876</v>
      </c>
      <c r="L11" s="12">
        <v>1.4E-2</v>
      </c>
      <c r="M11" s="12">
        <v>9.1E-4</v>
      </c>
      <c r="N11" s="12">
        <f t="shared" si="0"/>
        <v>0.89</v>
      </c>
      <c r="O11" s="12">
        <f t="shared" si="1"/>
        <v>1.491E-2</v>
      </c>
      <c r="P11" s="10"/>
      <c r="Q11" s="10"/>
      <c r="R11" s="10"/>
    </row>
    <row r="12" spans="1:18" x14ac:dyDescent="0.15">
      <c r="A12" s="10" t="s">
        <v>16</v>
      </c>
      <c r="B12" s="10"/>
      <c r="C12" s="11">
        <v>1</v>
      </c>
      <c r="D12" s="11" t="s">
        <v>110</v>
      </c>
      <c r="E12" s="11" t="s">
        <v>85</v>
      </c>
      <c r="F12" s="11" t="s">
        <v>85</v>
      </c>
      <c r="G12" s="11">
        <v>2</v>
      </c>
      <c r="H12" s="10">
        <v>4</v>
      </c>
      <c r="I12" s="11" t="s">
        <v>83</v>
      </c>
      <c r="J12" s="12">
        <v>0.109</v>
      </c>
      <c r="K12" s="12">
        <v>0.88500000000000001</v>
      </c>
      <c r="L12" s="12">
        <v>5.0000000000000001E-3</v>
      </c>
      <c r="M12" s="12">
        <v>1.1000000000000001E-3</v>
      </c>
      <c r="N12" s="12">
        <f t="shared" si="0"/>
        <v>0.89</v>
      </c>
      <c r="O12" s="12">
        <f t="shared" si="1"/>
        <v>6.1000000000000004E-3</v>
      </c>
      <c r="P12" s="10"/>
      <c r="Q12" s="10"/>
      <c r="R12" s="10"/>
    </row>
    <row r="13" spans="1:18" x14ac:dyDescent="0.15">
      <c r="A13" s="10" t="s">
        <v>17</v>
      </c>
      <c r="B13" s="10"/>
      <c r="C13" s="11">
        <v>2</v>
      </c>
      <c r="D13" s="11" t="s">
        <v>110</v>
      </c>
      <c r="E13" s="11" t="s">
        <v>85</v>
      </c>
      <c r="F13" s="11" t="s">
        <v>85</v>
      </c>
      <c r="G13" s="11">
        <v>2</v>
      </c>
      <c r="H13" s="10">
        <v>4</v>
      </c>
      <c r="I13" s="11" t="s">
        <v>83</v>
      </c>
      <c r="J13" s="12">
        <v>0.59199999999999997</v>
      </c>
      <c r="K13" s="12">
        <v>0.40699999999999997</v>
      </c>
      <c r="L13" s="12">
        <v>7.1000000000000002E-4</v>
      </c>
      <c r="M13" s="12">
        <v>4.6999999999999999E-4</v>
      </c>
      <c r="N13" s="12">
        <f t="shared" si="0"/>
        <v>0.40770999999999996</v>
      </c>
      <c r="O13" s="12">
        <f t="shared" si="1"/>
        <v>1.1800000000000001E-3</v>
      </c>
      <c r="P13" s="10"/>
      <c r="Q13" s="10"/>
      <c r="R13" s="10"/>
    </row>
    <row r="14" spans="1:18" x14ac:dyDescent="0.15">
      <c r="A14" s="10" t="s">
        <v>32</v>
      </c>
      <c r="B14" s="10"/>
      <c r="C14" s="11">
        <v>1</v>
      </c>
      <c r="D14" s="11" t="s">
        <v>110</v>
      </c>
      <c r="E14" s="11" t="s">
        <v>85</v>
      </c>
      <c r="F14" s="11" t="s">
        <v>85</v>
      </c>
      <c r="G14" s="11">
        <v>2</v>
      </c>
      <c r="H14" s="10">
        <v>5</v>
      </c>
      <c r="I14" s="11" t="s">
        <v>87</v>
      </c>
      <c r="J14" s="12">
        <v>0.36299999999999999</v>
      </c>
      <c r="K14" s="12">
        <v>0.63100000000000001</v>
      </c>
      <c r="L14" s="12">
        <v>2.8999999999999998E-3</v>
      </c>
      <c r="M14" s="12">
        <v>3.2000000000000002E-3</v>
      </c>
      <c r="N14" s="12">
        <f t="shared" si="0"/>
        <v>0.63390000000000002</v>
      </c>
      <c r="O14" s="12">
        <f t="shared" si="1"/>
        <v>6.0999999999999995E-3</v>
      </c>
      <c r="P14" s="10"/>
      <c r="Q14" s="10"/>
      <c r="R14" s="10"/>
    </row>
    <row r="15" spans="1:18" x14ac:dyDescent="0.15">
      <c r="A15" s="10" t="s">
        <v>33</v>
      </c>
      <c r="B15" s="10"/>
      <c r="C15" s="11">
        <v>2</v>
      </c>
      <c r="D15" s="11" t="s">
        <v>110</v>
      </c>
      <c r="E15" s="11" t="s">
        <v>85</v>
      </c>
      <c r="F15" s="11" t="s">
        <v>85</v>
      </c>
      <c r="G15" s="11">
        <v>2</v>
      </c>
      <c r="H15" s="10">
        <v>5</v>
      </c>
      <c r="I15" s="11" t="s">
        <v>87</v>
      </c>
      <c r="J15" s="12">
        <v>0.6</v>
      </c>
      <c r="K15" s="12">
        <v>0.39300000000000002</v>
      </c>
      <c r="L15" s="12">
        <v>9.3999999999999997E-4</v>
      </c>
      <c r="M15" s="12">
        <v>6.3E-3</v>
      </c>
      <c r="N15" s="12">
        <f t="shared" si="0"/>
        <v>0.39394000000000001</v>
      </c>
      <c r="O15" s="12">
        <f t="shared" si="1"/>
        <v>7.2399999999999999E-3</v>
      </c>
      <c r="P15" s="10"/>
      <c r="Q15" s="10"/>
      <c r="R15" s="10"/>
    </row>
    <row r="16" spans="1:18" x14ac:dyDescent="0.15">
      <c r="A16" s="10" t="s">
        <v>20</v>
      </c>
      <c r="B16" s="10"/>
      <c r="C16" s="11">
        <v>1</v>
      </c>
      <c r="D16" s="11" t="s">
        <v>110</v>
      </c>
      <c r="E16" s="11" t="s">
        <v>112</v>
      </c>
      <c r="F16" s="11" t="s">
        <v>114</v>
      </c>
      <c r="G16" s="11">
        <v>3</v>
      </c>
      <c r="H16" s="10">
        <v>4</v>
      </c>
      <c r="I16" s="11" t="s">
        <v>83</v>
      </c>
      <c r="J16" s="12">
        <v>0.114</v>
      </c>
      <c r="K16" s="12">
        <v>0.879</v>
      </c>
      <c r="L16" s="12">
        <v>6.4000000000000003E-3</v>
      </c>
      <c r="M16" s="12">
        <v>1.1999999999999999E-3</v>
      </c>
      <c r="N16" s="12">
        <f t="shared" si="0"/>
        <v>0.88539999999999996</v>
      </c>
      <c r="O16" s="12">
        <f t="shared" si="1"/>
        <v>7.6E-3</v>
      </c>
      <c r="P16" s="10"/>
      <c r="Q16" s="10"/>
      <c r="R16" s="10"/>
    </row>
    <row r="17" spans="1:18" x14ac:dyDescent="0.15">
      <c r="A17" s="10" t="s">
        <v>21</v>
      </c>
      <c r="B17" s="10"/>
      <c r="C17" s="11">
        <v>2</v>
      </c>
      <c r="D17" s="11" t="s">
        <v>110</v>
      </c>
      <c r="E17" s="11" t="s">
        <v>112</v>
      </c>
      <c r="F17" s="11" t="s">
        <v>114</v>
      </c>
      <c r="G17" s="11">
        <v>3</v>
      </c>
      <c r="H17" s="10">
        <v>4</v>
      </c>
      <c r="I17" s="11" t="s">
        <v>83</v>
      </c>
      <c r="J17" s="12">
        <v>0.58299999999999996</v>
      </c>
      <c r="K17" s="12">
        <v>0.41399999999999998</v>
      </c>
      <c r="L17" s="12">
        <v>4.6000000000000001E-4</v>
      </c>
      <c r="M17" s="12">
        <v>2.2000000000000001E-3</v>
      </c>
      <c r="N17" s="12">
        <f t="shared" si="0"/>
        <v>0.41446</v>
      </c>
      <c r="O17" s="12">
        <f t="shared" si="1"/>
        <v>2.66E-3</v>
      </c>
      <c r="P17" s="10"/>
      <c r="Q17" s="10"/>
      <c r="R17" s="10"/>
    </row>
    <row r="18" spans="1:18" x14ac:dyDescent="0.15">
      <c r="A18" s="10" t="s">
        <v>36</v>
      </c>
      <c r="B18" s="10"/>
      <c r="C18" s="11">
        <v>1</v>
      </c>
      <c r="D18" s="11" t="s">
        <v>110</v>
      </c>
      <c r="E18" s="11" t="s">
        <v>112</v>
      </c>
      <c r="F18" s="11" t="s">
        <v>114</v>
      </c>
      <c r="G18" s="11">
        <v>3</v>
      </c>
      <c r="H18" s="10">
        <v>5</v>
      </c>
      <c r="I18" s="11" t="s">
        <v>87</v>
      </c>
      <c r="J18" s="12">
        <v>0.35099999999999998</v>
      </c>
      <c r="K18" s="12">
        <v>0.63600000000000001</v>
      </c>
      <c r="L18" s="12">
        <v>8.3000000000000001E-3</v>
      </c>
      <c r="M18" s="12">
        <v>4.7999999999999996E-3</v>
      </c>
      <c r="N18" s="12">
        <f t="shared" si="0"/>
        <v>0.64429999999999998</v>
      </c>
      <c r="O18" s="12">
        <f t="shared" si="1"/>
        <v>1.3100000000000001E-2</v>
      </c>
      <c r="P18" s="10"/>
      <c r="Q18" s="10"/>
      <c r="R18" s="10"/>
    </row>
    <row r="19" spans="1:18" x14ac:dyDescent="0.15">
      <c r="A19" s="10" t="s">
        <v>37</v>
      </c>
      <c r="B19" s="10"/>
      <c r="C19" s="11">
        <v>2</v>
      </c>
      <c r="D19" s="11" t="s">
        <v>110</v>
      </c>
      <c r="E19" s="11" t="s">
        <v>112</v>
      </c>
      <c r="F19" s="11" t="s">
        <v>114</v>
      </c>
      <c r="G19" s="11">
        <v>3</v>
      </c>
      <c r="H19" s="10">
        <v>5</v>
      </c>
      <c r="I19" s="11" t="s">
        <v>87</v>
      </c>
      <c r="J19" s="12">
        <v>0.44400000000000001</v>
      </c>
      <c r="K19" s="12">
        <v>0.53800000000000003</v>
      </c>
      <c r="L19" s="12">
        <v>8.3000000000000001E-3</v>
      </c>
      <c r="M19" s="12">
        <v>0.01</v>
      </c>
      <c r="N19" s="12">
        <f t="shared" si="0"/>
        <v>0.54630000000000001</v>
      </c>
      <c r="O19" s="12">
        <f t="shared" si="1"/>
        <v>1.83E-2</v>
      </c>
      <c r="P19" s="10"/>
      <c r="Q19" s="10"/>
      <c r="R19" s="10"/>
    </row>
    <row r="20" spans="1:18" x14ac:dyDescent="0.15">
      <c r="A20" s="10" t="s">
        <v>6</v>
      </c>
      <c r="B20" s="10"/>
      <c r="C20" s="11">
        <v>1</v>
      </c>
      <c r="D20" s="11" t="s">
        <v>111</v>
      </c>
      <c r="E20" s="11" t="s">
        <v>109</v>
      </c>
      <c r="F20" s="11" t="s">
        <v>109</v>
      </c>
      <c r="G20" s="11">
        <v>0</v>
      </c>
      <c r="H20" s="10">
        <v>3</v>
      </c>
      <c r="I20" s="11" t="s">
        <v>82</v>
      </c>
      <c r="J20" s="12">
        <v>0.86699999999999999</v>
      </c>
      <c r="K20" s="12">
        <v>0.13200000000000001</v>
      </c>
      <c r="L20" s="12">
        <v>1.1E-4</v>
      </c>
      <c r="M20" s="12">
        <v>1.1000000000000001E-3</v>
      </c>
      <c r="N20" s="12">
        <f t="shared" si="0"/>
        <v>0.13211000000000001</v>
      </c>
      <c r="O20" s="12">
        <f t="shared" si="1"/>
        <v>1.2100000000000001E-3</v>
      </c>
      <c r="P20" s="10"/>
      <c r="Q20" s="10"/>
      <c r="R20" s="10"/>
    </row>
    <row r="21" spans="1:18" x14ac:dyDescent="0.15">
      <c r="A21" s="10" t="s">
        <v>7</v>
      </c>
      <c r="B21" s="10"/>
      <c r="C21" s="11">
        <v>2</v>
      </c>
      <c r="D21" s="11" t="s">
        <v>111</v>
      </c>
      <c r="E21" s="11" t="s">
        <v>109</v>
      </c>
      <c r="F21" s="11" t="s">
        <v>109</v>
      </c>
      <c r="G21" s="11">
        <v>0</v>
      </c>
      <c r="H21" s="11">
        <v>3</v>
      </c>
      <c r="I21" s="11" t="s">
        <v>82</v>
      </c>
      <c r="J21" s="12">
        <v>0.83699999999999997</v>
      </c>
      <c r="K21" s="12">
        <v>0.16200000000000001</v>
      </c>
      <c r="L21" s="12">
        <v>3.3E-4</v>
      </c>
      <c r="M21" s="12">
        <v>8.8000000000000003E-4</v>
      </c>
      <c r="N21" s="12">
        <f t="shared" si="0"/>
        <v>0.16233</v>
      </c>
      <c r="O21" s="12">
        <f t="shared" si="1"/>
        <v>1.2100000000000001E-3</v>
      </c>
      <c r="P21" s="10"/>
      <c r="Q21" s="10"/>
      <c r="R21" s="10"/>
    </row>
    <row r="22" spans="1:18" x14ac:dyDescent="0.15">
      <c r="A22" s="10" t="s">
        <v>10</v>
      </c>
      <c r="B22" s="10"/>
      <c r="C22" s="11">
        <v>1</v>
      </c>
      <c r="D22" s="11" t="s">
        <v>111</v>
      </c>
      <c r="E22" s="11" t="s">
        <v>109</v>
      </c>
      <c r="F22" s="11" t="s">
        <v>109</v>
      </c>
      <c r="G22" s="11">
        <v>0</v>
      </c>
      <c r="H22" s="10">
        <v>4</v>
      </c>
      <c r="I22" s="11" t="s">
        <v>83</v>
      </c>
      <c r="J22" s="12">
        <v>3.4599999999999999E-2</v>
      </c>
      <c r="K22" s="12">
        <v>0.95899999999999996</v>
      </c>
      <c r="L22" s="12">
        <v>6.1999999999999998E-3</v>
      </c>
      <c r="M22" s="12">
        <v>4.4000000000000002E-4</v>
      </c>
      <c r="N22" s="12">
        <f t="shared" si="0"/>
        <v>0.96519999999999995</v>
      </c>
      <c r="O22" s="12">
        <f t="shared" si="1"/>
        <v>6.6400000000000001E-3</v>
      </c>
      <c r="P22" s="10"/>
      <c r="Q22" s="10"/>
      <c r="R22" s="10"/>
    </row>
    <row r="23" spans="1:18" x14ac:dyDescent="0.15">
      <c r="A23" s="10" t="s">
        <v>11</v>
      </c>
      <c r="B23" s="10"/>
      <c r="C23" s="11">
        <v>2</v>
      </c>
      <c r="D23" s="11" t="s">
        <v>111</v>
      </c>
      <c r="E23" s="11" t="s">
        <v>109</v>
      </c>
      <c r="F23" s="11" t="s">
        <v>109</v>
      </c>
      <c r="G23" s="11">
        <v>0</v>
      </c>
      <c r="H23" s="10">
        <v>4</v>
      </c>
      <c r="I23" s="11" t="s">
        <v>83</v>
      </c>
      <c r="J23" s="12">
        <v>0.38</v>
      </c>
      <c r="K23" s="12">
        <v>0.61899999999999999</v>
      </c>
      <c r="L23" s="12">
        <v>2.2000000000000001E-4</v>
      </c>
      <c r="M23" s="12">
        <v>8.9999999999999998E-4</v>
      </c>
      <c r="N23" s="12">
        <f t="shared" si="0"/>
        <v>0.61921999999999999</v>
      </c>
      <c r="O23" s="12">
        <f t="shared" si="1"/>
        <v>1.1199999999999999E-3</v>
      </c>
      <c r="P23" s="10"/>
      <c r="Q23" s="10"/>
      <c r="R23" s="10"/>
    </row>
    <row r="24" spans="1:18" x14ac:dyDescent="0.15">
      <c r="A24" s="10" t="s">
        <v>26</v>
      </c>
      <c r="B24" s="10"/>
      <c r="C24" s="11">
        <v>1</v>
      </c>
      <c r="D24" s="11" t="s">
        <v>111</v>
      </c>
      <c r="E24" s="11" t="s">
        <v>109</v>
      </c>
      <c r="F24" s="11" t="s">
        <v>109</v>
      </c>
      <c r="G24" s="11">
        <v>0</v>
      </c>
      <c r="H24" s="10">
        <v>5</v>
      </c>
      <c r="I24" s="11" t="s">
        <v>87</v>
      </c>
      <c r="J24" s="12">
        <v>0.1</v>
      </c>
      <c r="K24" s="12">
        <v>0.89400000000000002</v>
      </c>
      <c r="L24" s="12">
        <v>5.1000000000000004E-3</v>
      </c>
      <c r="M24" s="12">
        <v>8.8000000000000003E-4</v>
      </c>
      <c r="N24" s="12">
        <f t="shared" si="0"/>
        <v>0.89910000000000001</v>
      </c>
      <c r="O24" s="12">
        <f t="shared" si="1"/>
        <v>5.9800000000000001E-3</v>
      </c>
      <c r="P24" s="10"/>
      <c r="Q24" s="10"/>
      <c r="R24" s="10"/>
    </row>
    <row r="25" spans="1:18" x14ac:dyDescent="0.15">
      <c r="A25" s="10" t="s">
        <v>27</v>
      </c>
      <c r="B25" s="10"/>
      <c r="C25" s="11">
        <v>2</v>
      </c>
      <c r="D25" s="11" t="s">
        <v>111</v>
      </c>
      <c r="E25" s="11" t="s">
        <v>109</v>
      </c>
      <c r="F25" s="11" t="s">
        <v>109</v>
      </c>
      <c r="G25" s="11">
        <v>0</v>
      </c>
      <c r="H25" s="10">
        <v>5</v>
      </c>
      <c r="I25" s="11" t="s">
        <v>87</v>
      </c>
      <c r="J25" s="12">
        <v>0.16</v>
      </c>
      <c r="K25" s="12">
        <v>0.83699999999999997</v>
      </c>
      <c r="L25" s="12">
        <v>2.5000000000000001E-3</v>
      </c>
      <c r="M25" s="12">
        <v>6.9999999999999999E-4</v>
      </c>
      <c r="N25" s="12">
        <f t="shared" si="0"/>
        <v>0.83949999999999991</v>
      </c>
      <c r="O25" s="12">
        <f t="shared" si="1"/>
        <v>3.2000000000000002E-3</v>
      </c>
      <c r="P25" s="10"/>
      <c r="Q25" s="10"/>
      <c r="R25" s="10"/>
    </row>
    <row r="26" spans="1:18" x14ac:dyDescent="0.15">
      <c r="A26" s="10" t="s">
        <v>14</v>
      </c>
      <c r="B26" s="10"/>
      <c r="C26" s="11">
        <v>1</v>
      </c>
      <c r="D26" s="11" t="s">
        <v>111</v>
      </c>
      <c r="E26" s="11" t="s">
        <v>84</v>
      </c>
      <c r="F26" s="11" t="s">
        <v>84</v>
      </c>
      <c r="G26" s="11">
        <v>1</v>
      </c>
      <c r="H26" s="10">
        <v>4</v>
      </c>
      <c r="I26" s="11" t="s">
        <v>83</v>
      </c>
      <c r="J26" s="12">
        <v>0.192</v>
      </c>
      <c r="K26" s="12">
        <v>0.80700000000000005</v>
      </c>
      <c r="L26" s="12">
        <v>8.0000000000000004E-4</v>
      </c>
      <c r="M26" s="12">
        <v>8.0000000000000004E-4</v>
      </c>
      <c r="N26" s="12">
        <f t="shared" si="0"/>
        <v>0.80780000000000007</v>
      </c>
      <c r="O26" s="12">
        <f t="shared" si="1"/>
        <v>1.6000000000000001E-3</v>
      </c>
      <c r="P26" s="10"/>
      <c r="Q26" s="10"/>
      <c r="R26" s="10"/>
    </row>
    <row r="27" spans="1:18" x14ac:dyDescent="0.15">
      <c r="A27" s="10" t="s">
        <v>15</v>
      </c>
      <c r="B27" s="10"/>
      <c r="C27" s="11">
        <v>2</v>
      </c>
      <c r="D27" s="11" t="s">
        <v>111</v>
      </c>
      <c r="E27" s="11" t="s">
        <v>84</v>
      </c>
      <c r="F27" s="11" t="s">
        <v>84</v>
      </c>
      <c r="G27" s="11">
        <v>1</v>
      </c>
      <c r="H27" s="10">
        <v>4</v>
      </c>
      <c r="I27" s="11" t="s">
        <v>83</v>
      </c>
      <c r="J27" s="12">
        <v>4.7500000000000001E-2</v>
      </c>
      <c r="K27" s="12">
        <v>0.94499999999999995</v>
      </c>
      <c r="L27" s="12">
        <v>6.8999999999999999E-3</v>
      </c>
      <c r="M27" s="12">
        <v>9.1E-4</v>
      </c>
      <c r="N27" s="12">
        <f t="shared" si="0"/>
        <v>0.95189999999999997</v>
      </c>
      <c r="O27" s="12">
        <f t="shared" si="1"/>
        <v>7.8100000000000001E-3</v>
      </c>
      <c r="P27" s="10"/>
      <c r="Q27" s="10"/>
      <c r="R27" s="10"/>
    </row>
    <row r="28" spans="1:18" x14ac:dyDescent="0.15">
      <c r="A28" s="10" t="s">
        <v>30</v>
      </c>
      <c r="B28" s="10"/>
      <c r="C28" s="11">
        <v>1</v>
      </c>
      <c r="D28" s="11" t="s">
        <v>111</v>
      </c>
      <c r="E28" s="11" t="s">
        <v>84</v>
      </c>
      <c r="F28" s="11" t="s">
        <v>84</v>
      </c>
      <c r="G28" s="11">
        <v>1</v>
      </c>
      <c r="H28" s="10">
        <v>5</v>
      </c>
      <c r="I28" s="11" t="s">
        <v>87</v>
      </c>
      <c r="J28" s="12">
        <v>6.7199999999999996E-2</v>
      </c>
      <c r="K28" s="12">
        <v>0.92900000000000005</v>
      </c>
      <c r="L28" s="12">
        <v>3.0999999999999999E-3</v>
      </c>
      <c r="M28" s="12">
        <v>3.5E-4</v>
      </c>
      <c r="N28" s="12">
        <f t="shared" si="0"/>
        <v>0.93210000000000004</v>
      </c>
      <c r="O28" s="12">
        <f t="shared" si="1"/>
        <v>3.4499999999999999E-3</v>
      </c>
      <c r="P28" s="10"/>
      <c r="Q28" s="10"/>
      <c r="R28" s="10"/>
    </row>
    <row r="29" spans="1:18" x14ac:dyDescent="0.15">
      <c r="A29" s="10" t="s">
        <v>31</v>
      </c>
      <c r="B29" s="10"/>
      <c r="C29" s="11">
        <v>2</v>
      </c>
      <c r="D29" s="11" t="s">
        <v>111</v>
      </c>
      <c r="E29" s="11" t="s">
        <v>84</v>
      </c>
      <c r="F29" s="11" t="s">
        <v>84</v>
      </c>
      <c r="G29" s="11">
        <v>1</v>
      </c>
      <c r="H29" s="10">
        <v>5</v>
      </c>
      <c r="I29" s="11" t="s">
        <v>87</v>
      </c>
      <c r="J29" s="12">
        <v>8.6300000000000002E-2</v>
      </c>
      <c r="K29" s="12">
        <v>0.91200000000000003</v>
      </c>
      <c r="L29" s="12">
        <v>1.6000000000000001E-3</v>
      </c>
      <c r="M29" s="12">
        <v>4.4999999999999999E-4</v>
      </c>
      <c r="N29" s="12">
        <f t="shared" si="0"/>
        <v>0.91360000000000008</v>
      </c>
      <c r="O29" s="12">
        <f t="shared" si="1"/>
        <v>2.0500000000000002E-3</v>
      </c>
      <c r="P29" s="10"/>
      <c r="Q29" s="10"/>
      <c r="R29" s="10"/>
    </row>
    <row r="30" spans="1:18" x14ac:dyDescent="0.15">
      <c r="A30" s="10" t="s">
        <v>18</v>
      </c>
      <c r="B30" s="10"/>
      <c r="C30" s="11">
        <v>1</v>
      </c>
      <c r="D30" s="11" t="s">
        <v>111</v>
      </c>
      <c r="E30" s="11" t="s">
        <v>85</v>
      </c>
      <c r="F30" s="11" t="s">
        <v>85</v>
      </c>
      <c r="G30" s="11">
        <v>2</v>
      </c>
      <c r="H30" s="10">
        <v>4</v>
      </c>
      <c r="I30" s="11" t="s">
        <v>83</v>
      </c>
      <c r="J30" s="12">
        <v>0.161</v>
      </c>
      <c r="K30" s="12">
        <v>0.83099999999999996</v>
      </c>
      <c r="L30" s="12">
        <v>6.1000000000000004E-3</v>
      </c>
      <c r="M30" s="12">
        <v>2.3E-3</v>
      </c>
      <c r="N30" s="12">
        <f t="shared" si="0"/>
        <v>0.83709999999999996</v>
      </c>
      <c r="O30" s="12">
        <f t="shared" si="1"/>
        <v>8.4000000000000012E-3</v>
      </c>
      <c r="P30" s="10"/>
      <c r="Q30" s="10"/>
      <c r="R30" s="10"/>
    </row>
    <row r="31" spans="1:18" x14ac:dyDescent="0.15">
      <c r="A31" s="10" t="s">
        <v>19</v>
      </c>
      <c r="B31" s="10"/>
      <c r="C31" s="11">
        <v>2</v>
      </c>
      <c r="D31" s="11" t="s">
        <v>111</v>
      </c>
      <c r="E31" s="11" t="s">
        <v>85</v>
      </c>
      <c r="F31" s="11" t="s">
        <v>85</v>
      </c>
      <c r="G31" s="11">
        <v>2</v>
      </c>
      <c r="H31" s="10">
        <v>4</v>
      </c>
      <c r="I31" s="11" t="s">
        <v>83</v>
      </c>
      <c r="J31" s="12">
        <v>0.56000000000000005</v>
      </c>
      <c r="K31" s="12">
        <v>0.439</v>
      </c>
      <c r="L31" s="12">
        <v>3.6000000000000002E-4</v>
      </c>
      <c r="M31" s="12">
        <v>8.4000000000000003E-4</v>
      </c>
      <c r="N31" s="12">
        <f t="shared" si="0"/>
        <v>0.43936000000000003</v>
      </c>
      <c r="O31" s="12">
        <f t="shared" si="1"/>
        <v>1.2000000000000001E-3</v>
      </c>
      <c r="P31" s="10"/>
      <c r="Q31" s="10"/>
      <c r="R31" s="10"/>
    </row>
    <row r="32" spans="1:18" x14ac:dyDescent="0.15">
      <c r="A32" s="10" t="s">
        <v>34</v>
      </c>
      <c r="B32" s="10"/>
      <c r="C32" s="11">
        <v>1</v>
      </c>
      <c r="D32" s="11" t="s">
        <v>111</v>
      </c>
      <c r="E32" s="11" t="s">
        <v>85</v>
      </c>
      <c r="F32" s="11" t="s">
        <v>85</v>
      </c>
      <c r="G32" s="11">
        <v>2</v>
      </c>
      <c r="H32" s="10">
        <v>5</v>
      </c>
      <c r="I32" s="11" t="s">
        <v>87</v>
      </c>
      <c r="J32" s="12">
        <v>0.56399999999999995</v>
      </c>
      <c r="K32" s="12">
        <v>0.433</v>
      </c>
      <c r="L32" s="12">
        <v>1.2999999999999999E-3</v>
      </c>
      <c r="M32" s="12">
        <v>1.6999999999999999E-3</v>
      </c>
      <c r="N32" s="12">
        <f t="shared" si="0"/>
        <v>0.43430000000000002</v>
      </c>
      <c r="O32" s="12">
        <f t="shared" si="1"/>
        <v>3.0000000000000001E-3</v>
      </c>
      <c r="P32" s="10"/>
      <c r="Q32" s="10"/>
      <c r="R32" s="10"/>
    </row>
    <row r="33" spans="1:18" x14ac:dyDescent="0.15">
      <c r="A33" s="10" t="s">
        <v>35</v>
      </c>
      <c r="B33" s="10"/>
      <c r="C33" s="11">
        <v>2</v>
      </c>
      <c r="D33" s="11" t="s">
        <v>111</v>
      </c>
      <c r="E33" s="11" t="s">
        <v>85</v>
      </c>
      <c r="F33" s="11" t="s">
        <v>85</v>
      </c>
      <c r="G33" s="11">
        <v>2</v>
      </c>
      <c r="H33" s="10">
        <v>5</v>
      </c>
      <c r="I33" s="11" t="s">
        <v>87</v>
      </c>
      <c r="J33" s="12">
        <v>0.63900000000000001</v>
      </c>
      <c r="K33" s="12">
        <v>0.35299999999999998</v>
      </c>
      <c r="L33" s="12">
        <v>1.5E-3</v>
      </c>
      <c r="M33" s="12">
        <v>5.5999999999999999E-3</v>
      </c>
      <c r="N33" s="12">
        <f t="shared" si="0"/>
        <v>0.35449999999999998</v>
      </c>
      <c r="O33" s="12">
        <f t="shared" si="1"/>
        <v>7.1000000000000004E-3</v>
      </c>
      <c r="P33" s="10"/>
      <c r="Q33" s="10"/>
      <c r="R33" s="10"/>
    </row>
    <row r="34" spans="1:18" x14ac:dyDescent="0.15">
      <c r="A34" s="10" t="s">
        <v>22</v>
      </c>
      <c r="B34" s="10"/>
      <c r="C34" s="11">
        <v>1</v>
      </c>
      <c r="D34" s="11" t="s">
        <v>111</v>
      </c>
      <c r="E34" s="11" t="s">
        <v>112</v>
      </c>
      <c r="F34" s="11" t="s">
        <v>114</v>
      </c>
      <c r="G34" s="11">
        <v>3</v>
      </c>
      <c r="H34" s="10">
        <v>4</v>
      </c>
      <c r="I34" s="11" t="s">
        <v>83</v>
      </c>
      <c r="J34" s="12">
        <v>0.14099999999999999</v>
      </c>
      <c r="K34" s="12">
        <v>0.84699999999999998</v>
      </c>
      <c r="L34" s="12">
        <v>1.0200000000000001E-2</v>
      </c>
      <c r="M34" s="12">
        <v>2E-3</v>
      </c>
      <c r="N34" s="12">
        <f t="shared" si="0"/>
        <v>0.85719999999999996</v>
      </c>
      <c r="O34" s="12">
        <f t="shared" si="1"/>
        <v>1.2200000000000001E-2</v>
      </c>
      <c r="P34" s="10"/>
      <c r="Q34" s="10"/>
      <c r="R34" s="10"/>
    </row>
    <row r="35" spans="1:18" x14ac:dyDescent="0.15">
      <c r="A35" s="10" t="s">
        <v>23</v>
      </c>
      <c r="B35" s="10"/>
      <c r="C35" s="11">
        <v>2</v>
      </c>
      <c r="D35" s="11" t="s">
        <v>111</v>
      </c>
      <c r="E35" s="11" t="s">
        <v>112</v>
      </c>
      <c r="F35" s="11" t="s">
        <v>114</v>
      </c>
      <c r="G35" s="11">
        <v>3</v>
      </c>
      <c r="H35" s="10">
        <v>4</v>
      </c>
      <c r="I35" s="11" t="s">
        <v>83</v>
      </c>
      <c r="J35" s="12">
        <v>0.434</v>
      </c>
      <c r="K35" s="12">
        <v>0.56399999999999995</v>
      </c>
      <c r="L35" s="12">
        <v>7.9000000000000001E-4</v>
      </c>
      <c r="M35" s="12">
        <v>1E-3</v>
      </c>
      <c r="N35" s="12">
        <f t="shared" si="0"/>
        <v>0.5647899999999999</v>
      </c>
      <c r="O35" s="12">
        <f t="shared" si="1"/>
        <v>1.7899999999999999E-3</v>
      </c>
      <c r="P35" s="10"/>
      <c r="Q35" s="10"/>
      <c r="R35" s="10"/>
    </row>
    <row r="36" spans="1:18" x14ac:dyDescent="0.15">
      <c r="A36" s="10" t="s">
        <v>38</v>
      </c>
      <c r="B36" s="10"/>
      <c r="C36" s="11">
        <v>1</v>
      </c>
      <c r="D36" s="11" t="s">
        <v>111</v>
      </c>
      <c r="E36" s="11" t="s">
        <v>112</v>
      </c>
      <c r="F36" s="11" t="s">
        <v>114</v>
      </c>
      <c r="G36" s="11">
        <v>3</v>
      </c>
      <c r="H36" s="10">
        <v>5</v>
      </c>
      <c r="I36" s="11" t="s">
        <v>87</v>
      </c>
      <c r="J36" s="12">
        <v>0.68200000000000005</v>
      </c>
      <c r="K36" s="12">
        <v>0.312</v>
      </c>
      <c r="L36" s="12">
        <v>2.3E-3</v>
      </c>
      <c r="M36" s="12">
        <v>3.5000000000000001E-3</v>
      </c>
      <c r="N36" s="12">
        <f t="shared" si="0"/>
        <v>0.31430000000000002</v>
      </c>
      <c r="O36" s="12">
        <f t="shared" si="1"/>
        <v>5.7999999999999996E-3</v>
      </c>
      <c r="P36" s="10"/>
      <c r="Q36" s="10"/>
      <c r="R36" s="10"/>
    </row>
    <row r="37" spans="1:18" x14ac:dyDescent="0.15">
      <c r="A37" s="10" t="s">
        <v>39</v>
      </c>
      <c r="B37" s="10"/>
      <c r="C37" s="11">
        <v>2</v>
      </c>
      <c r="D37" s="11" t="s">
        <v>111</v>
      </c>
      <c r="E37" s="11" t="s">
        <v>112</v>
      </c>
      <c r="F37" s="11" t="s">
        <v>114</v>
      </c>
      <c r="G37" s="11">
        <v>3</v>
      </c>
      <c r="H37" s="10">
        <v>5</v>
      </c>
      <c r="I37" s="11" t="s">
        <v>87</v>
      </c>
      <c r="J37" s="12">
        <v>0.70199999999999996</v>
      </c>
      <c r="K37" s="12">
        <v>0.29099999999999998</v>
      </c>
      <c r="L37" s="12">
        <v>2.3E-3</v>
      </c>
      <c r="M37" s="12">
        <v>4.4999999999999997E-3</v>
      </c>
      <c r="N37" s="12">
        <f t="shared" si="0"/>
        <v>0.29330000000000001</v>
      </c>
      <c r="O37" s="12">
        <f t="shared" si="1"/>
        <v>6.7999999999999996E-3</v>
      </c>
      <c r="P37" s="10"/>
      <c r="Q37" s="10"/>
      <c r="R37" s="10"/>
    </row>
    <row r="38" spans="1:18" x14ac:dyDescent="0.15">
      <c r="A38" s="10" t="s">
        <v>40</v>
      </c>
      <c r="B38" s="10"/>
      <c r="C38" s="11">
        <v>1</v>
      </c>
      <c r="D38" s="11" t="s">
        <v>78</v>
      </c>
      <c r="E38" s="11" t="s">
        <v>109</v>
      </c>
      <c r="F38" s="11" t="s">
        <v>109</v>
      </c>
      <c r="G38" s="11">
        <v>0</v>
      </c>
      <c r="H38" s="10">
        <v>3</v>
      </c>
      <c r="I38" s="11" t="s">
        <v>82</v>
      </c>
      <c r="J38" s="12">
        <v>0.77300000000000002</v>
      </c>
      <c r="K38" s="12">
        <v>0.22600000000000001</v>
      </c>
      <c r="L38" s="12">
        <v>1.1E-4</v>
      </c>
      <c r="M38" s="12">
        <v>4.2000000000000002E-4</v>
      </c>
      <c r="N38" s="12">
        <f t="shared" si="0"/>
        <v>0.22611000000000001</v>
      </c>
      <c r="O38" s="12">
        <f t="shared" si="1"/>
        <v>5.2999999999999998E-4</v>
      </c>
      <c r="P38" s="10"/>
      <c r="Q38" s="10"/>
      <c r="R38" s="10"/>
    </row>
    <row r="39" spans="1:18" x14ac:dyDescent="0.15">
      <c r="A39" s="10" t="s">
        <v>41</v>
      </c>
      <c r="B39" s="10"/>
      <c r="C39" s="11">
        <v>2</v>
      </c>
      <c r="D39" s="11" t="s">
        <v>78</v>
      </c>
      <c r="E39" s="11" t="s">
        <v>109</v>
      </c>
      <c r="F39" s="11" t="s">
        <v>109</v>
      </c>
      <c r="G39" s="11">
        <v>0</v>
      </c>
      <c r="H39" s="11">
        <v>3</v>
      </c>
      <c r="I39" s="11" t="s">
        <v>82</v>
      </c>
      <c r="J39" s="12">
        <v>0.64200000000000002</v>
      </c>
      <c r="K39" s="12">
        <v>0.35499999999999998</v>
      </c>
      <c r="L39" s="12">
        <v>1.1000000000000001E-3</v>
      </c>
      <c r="M39" s="12">
        <v>1.6999999999999999E-3</v>
      </c>
      <c r="N39" s="12">
        <f t="shared" si="0"/>
        <v>0.35609999999999997</v>
      </c>
      <c r="O39" s="12">
        <f t="shared" si="1"/>
        <v>2.8E-3</v>
      </c>
      <c r="P39" s="10"/>
      <c r="Q39" s="10"/>
      <c r="R39" s="10"/>
    </row>
    <row r="40" spans="1:18" x14ac:dyDescent="0.15">
      <c r="A40" s="10" t="s">
        <v>44</v>
      </c>
      <c r="B40" s="10"/>
      <c r="C40" s="11">
        <v>1</v>
      </c>
      <c r="D40" s="11" t="s">
        <v>78</v>
      </c>
      <c r="E40" s="11" t="s">
        <v>109</v>
      </c>
      <c r="F40" s="11" t="s">
        <v>109</v>
      </c>
      <c r="G40" s="11">
        <v>0</v>
      </c>
      <c r="H40" s="10">
        <v>4</v>
      </c>
      <c r="I40" s="11" t="s">
        <v>83</v>
      </c>
      <c r="J40" s="12">
        <v>6.5299999999999997E-2</v>
      </c>
      <c r="K40" s="12">
        <v>0.93100000000000005</v>
      </c>
      <c r="L40" s="12">
        <v>3.0000000000000001E-3</v>
      </c>
      <c r="M40" s="12">
        <v>3.3E-4</v>
      </c>
      <c r="N40" s="12">
        <f t="shared" si="0"/>
        <v>0.93400000000000005</v>
      </c>
      <c r="O40" s="12">
        <f t="shared" si="1"/>
        <v>3.3300000000000001E-3</v>
      </c>
      <c r="P40" s="10"/>
      <c r="Q40" s="10"/>
      <c r="R40" s="10"/>
    </row>
    <row r="41" spans="1:18" x14ac:dyDescent="0.15">
      <c r="A41" s="10" t="s">
        <v>45</v>
      </c>
      <c r="B41" s="10"/>
      <c r="C41" s="11">
        <v>2</v>
      </c>
      <c r="D41" s="11" t="s">
        <v>78</v>
      </c>
      <c r="E41" s="11" t="s">
        <v>109</v>
      </c>
      <c r="F41" s="11" t="s">
        <v>109</v>
      </c>
      <c r="G41" s="11">
        <v>0</v>
      </c>
      <c r="H41" s="10">
        <v>4</v>
      </c>
      <c r="I41" s="11" t="s">
        <v>83</v>
      </c>
      <c r="J41" s="12">
        <v>0.14899999999999999</v>
      </c>
      <c r="K41" s="12">
        <v>0.84899999999999998</v>
      </c>
      <c r="L41" s="12">
        <v>9.3000000000000005E-4</v>
      </c>
      <c r="M41" s="12">
        <v>3.5E-4</v>
      </c>
      <c r="N41" s="12">
        <f t="shared" si="0"/>
        <v>0.84992999999999996</v>
      </c>
      <c r="O41" s="12">
        <f t="shared" si="1"/>
        <v>1.2800000000000001E-3</v>
      </c>
      <c r="P41" s="10"/>
      <c r="Q41" s="10"/>
      <c r="R41" s="10"/>
    </row>
    <row r="42" spans="1:18" x14ac:dyDescent="0.15">
      <c r="A42" s="10" t="s">
        <v>60</v>
      </c>
      <c r="B42" s="10"/>
      <c r="C42" s="11">
        <v>1</v>
      </c>
      <c r="D42" s="11" t="s">
        <v>78</v>
      </c>
      <c r="E42" s="11" t="s">
        <v>109</v>
      </c>
      <c r="F42" s="11" t="s">
        <v>109</v>
      </c>
      <c r="G42" s="11">
        <v>0</v>
      </c>
      <c r="H42" s="10">
        <v>5</v>
      </c>
      <c r="I42" s="11" t="s">
        <v>87</v>
      </c>
      <c r="J42" s="12">
        <v>0.11799999999999999</v>
      </c>
      <c r="K42" s="12">
        <v>0.879</v>
      </c>
      <c r="L42" s="12">
        <v>2.8E-3</v>
      </c>
      <c r="M42" s="12">
        <v>2.5000000000000001E-4</v>
      </c>
      <c r="N42" s="12">
        <f t="shared" si="0"/>
        <v>0.88180000000000003</v>
      </c>
      <c r="O42" s="12">
        <f t="shared" si="1"/>
        <v>3.0499999999999998E-3</v>
      </c>
      <c r="P42" s="10"/>
      <c r="Q42" s="10"/>
      <c r="R42" s="10"/>
    </row>
    <row r="43" spans="1:18" x14ac:dyDescent="0.15">
      <c r="A43" t="s">
        <v>61</v>
      </c>
      <c r="C43" s="1">
        <v>2</v>
      </c>
      <c r="D43" s="1" t="s">
        <v>78</v>
      </c>
      <c r="E43" s="1" t="s">
        <v>109</v>
      </c>
      <c r="F43" s="11" t="s">
        <v>109</v>
      </c>
      <c r="G43" s="1">
        <v>0</v>
      </c>
      <c r="H43">
        <v>5</v>
      </c>
      <c r="I43" s="1" t="s">
        <v>87</v>
      </c>
      <c r="J43" s="2">
        <v>0.26400000000000001</v>
      </c>
      <c r="K43" s="2">
        <v>0.69399999999999995</v>
      </c>
      <c r="L43" s="2">
        <v>3.6700000000000003E-2</v>
      </c>
      <c r="M43" s="2">
        <v>5.8999999999999999E-3</v>
      </c>
      <c r="N43" s="2">
        <f t="shared" si="0"/>
        <v>0.73069999999999991</v>
      </c>
      <c r="O43" s="2">
        <f t="shared" si="1"/>
        <v>4.2600000000000006E-2</v>
      </c>
    </row>
    <row r="44" spans="1:18" x14ac:dyDescent="0.15">
      <c r="A44" t="s">
        <v>48</v>
      </c>
      <c r="C44" s="1">
        <v>1</v>
      </c>
      <c r="D44" s="1" t="s">
        <v>78</v>
      </c>
      <c r="E44" s="1" t="s">
        <v>84</v>
      </c>
      <c r="F44" s="11" t="s">
        <v>84</v>
      </c>
      <c r="G44" s="1">
        <v>1</v>
      </c>
      <c r="H44">
        <v>4</v>
      </c>
      <c r="I44" s="1" t="s">
        <v>83</v>
      </c>
      <c r="J44" s="2">
        <v>5.62E-2</v>
      </c>
      <c r="K44" s="2">
        <v>0.94099999999999995</v>
      </c>
      <c r="L44" s="2">
        <v>2.3E-3</v>
      </c>
      <c r="M44" s="2">
        <v>6.4999999999999997E-4</v>
      </c>
      <c r="N44" s="2">
        <f t="shared" si="0"/>
        <v>0.94329999999999992</v>
      </c>
      <c r="O44" s="2">
        <f t="shared" si="1"/>
        <v>2.9499999999999999E-3</v>
      </c>
    </row>
    <row r="45" spans="1:18" x14ac:dyDescent="0.15">
      <c r="A45" t="s">
        <v>49</v>
      </c>
      <c r="C45" s="1">
        <v>2</v>
      </c>
      <c r="D45" s="1" t="s">
        <v>78</v>
      </c>
      <c r="E45" s="1" t="s">
        <v>84</v>
      </c>
      <c r="F45" s="11" t="s">
        <v>84</v>
      </c>
      <c r="G45" s="1">
        <v>1</v>
      </c>
      <c r="H45">
        <v>4</v>
      </c>
      <c r="I45" s="1" t="s">
        <v>83</v>
      </c>
      <c r="J45" s="2">
        <v>0.215</v>
      </c>
      <c r="K45" s="2">
        <v>0.78400000000000003</v>
      </c>
      <c r="L45" s="2">
        <v>6.9999999999999999E-4</v>
      </c>
      <c r="M45" s="3">
        <v>0</v>
      </c>
      <c r="N45" s="2">
        <f t="shared" si="0"/>
        <v>0.78470000000000006</v>
      </c>
      <c r="O45" s="2">
        <f t="shared" si="1"/>
        <v>6.9999999999999999E-4</v>
      </c>
    </row>
    <row r="46" spans="1:18" x14ac:dyDescent="0.15">
      <c r="A46" t="s">
        <v>64</v>
      </c>
      <c r="C46" s="1">
        <v>1</v>
      </c>
      <c r="D46" s="1" t="s">
        <v>78</v>
      </c>
      <c r="E46" s="1" t="s">
        <v>84</v>
      </c>
      <c r="F46" s="11" t="s">
        <v>84</v>
      </c>
      <c r="G46" s="1">
        <v>1</v>
      </c>
      <c r="H46">
        <v>5</v>
      </c>
      <c r="I46" s="1" t="s">
        <v>87</v>
      </c>
      <c r="J46" s="2">
        <v>9.5600000000000004E-2</v>
      </c>
      <c r="K46" s="2">
        <v>0.90400000000000003</v>
      </c>
      <c r="L46" s="2">
        <v>6.0999999999999997E-4</v>
      </c>
      <c r="M46" s="2">
        <v>2.4000000000000001E-4</v>
      </c>
      <c r="N46" s="2">
        <f t="shared" si="0"/>
        <v>0.90461000000000003</v>
      </c>
      <c r="O46" s="2">
        <f t="shared" si="1"/>
        <v>8.4999999999999995E-4</v>
      </c>
    </row>
    <row r="47" spans="1:18" x14ac:dyDescent="0.15">
      <c r="A47" t="s">
        <v>65</v>
      </c>
      <c r="C47" s="1">
        <v>2</v>
      </c>
      <c r="D47" s="1" t="s">
        <v>78</v>
      </c>
      <c r="E47" s="1" t="s">
        <v>84</v>
      </c>
      <c r="F47" s="11" t="s">
        <v>84</v>
      </c>
      <c r="G47" s="1">
        <v>1</v>
      </c>
      <c r="H47">
        <v>5</v>
      </c>
      <c r="I47" s="1" t="s">
        <v>87</v>
      </c>
      <c r="J47" s="2">
        <v>0.27400000000000002</v>
      </c>
      <c r="K47" s="2">
        <v>0.67200000000000004</v>
      </c>
      <c r="L47" s="2">
        <v>5.0799999999999998E-2</v>
      </c>
      <c r="M47" s="2">
        <v>2.8E-3</v>
      </c>
      <c r="N47" s="2">
        <f t="shared" si="0"/>
        <v>0.7228</v>
      </c>
      <c r="O47" s="2">
        <f t="shared" si="1"/>
        <v>5.3599999999999995E-2</v>
      </c>
    </row>
    <row r="48" spans="1:18" x14ac:dyDescent="0.15">
      <c r="A48" t="s">
        <v>52</v>
      </c>
      <c r="C48" s="1">
        <v>1</v>
      </c>
      <c r="D48" s="1" t="s">
        <v>78</v>
      </c>
      <c r="E48" s="1" t="s">
        <v>85</v>
      </c>
      <c r="F48" s="11" t="s">
        <v>85</v>
      </c>
      <c r="G48" s="1">
        <v>2</v>
      </c>
      <c r="H48">
        <v>4</v>
      </c>
      <c r="I48" s="1" t="s">
        <v>83</v>
      </c>
      <c r="J48" s="2">
        <v>0.222</v>
      </c>
      <c r="K48" s="2">
        <v>0.77500000000000002</v>
      </c>
      <c r="L48" s="2">
        <v>1.6000000000000001E-3</v>
      </c>
      <c r="M48" s="2">
        <v>1.5E-3</v>
      </c>
      <c r="N48" s="2">
        <f t="shared" si="0"/>
        <v>0.77660000000000007</v>
      </c>
      <c r="O48" s="2">
        <f t="shared" si="1"/>
        <v>3.1000000000000003E-3</v>
      </c>
    </row>
    <row r="49" spans="1:15" x14ac:dyDescent="0.15">
      <c r="A49" t="s">
        <v>53</v>
      </c>
      <c r="C49" s="1">
        <v>2</v>
      </c>
      <c r="D49" s="1" t="s">
        <v>78</v>
      </c>
      <c r="E49" s="1" t="s">
        <v>85</v>
      </c>
      <c r="F49" s="11" t="s">
        <v>85</v>
      </c>
      <c r="G49" s="1">
        <v>2</v>
      </c>
      <c r="H49">
        <v>4</v>
      </c>
      <c r="I49" s="1" t="s">
        <v>83</v>
      </c>
      <c r="J49" s="2">
        <v>0.48899999999999999</v>
      </c>
      <c r="K49" s="2">
        <v>0.50900000000000001</v>
      </c>
      <c r="L49" s="2">
        <v>1E-3</v>
      </c>
      <c r="M49" s="2">
        <v>1.4E-3</v>
      </c>
      <c r="N49" s="2">
        <f t="shared" si="0"/>
        <v>0.51</v>
      </c>
      <c r="O49" s="2">
        <f t="shared" si="1"/>
        <v>2.4000000000000002E-3</v>
      </c>
    </row>
    <row r="50" spans="1:15" x14ac:dyDescent="0.15">
      <c r="A50" t="s">
        <v>68</v>
      </c>
      <c r="C50" s="1">
        <v>1</v>
      </c>
      <c r="D50" s="1" t="s">
        <v>78</v>
      </c>
      <c r="E50" s="1" t="s">
        <v>85</v>
      </c>
      <c r="F50" s="11" t="s">
        <v>85</v>
      </c>
      <c r="G50" s="1">
        <v>2</v>
      </c>
      <c r="H50">
        <v>5</v>
      </c>
      <c r="I50" s="1" t="s">
        <v>87</v>
      </c>
      <c r="J50" s="2">
        <v>0.68100000000000005</v>
      </c>
      <c r="K50" s="2">
        <v>0.317</v>
      </c>
      <c r="L50" s="2">
        <v>4.0000000000000002E-4</v>
      </c>
      <c r="M50" s="2">
        <v>8.0000000000000004E-4</v>
      </c>
      <c r="N50" s="2">
        <f t="shared" si="0"/>
        <v>0.31740000000000002</v>
      </c>
      <c r="O50" s="2">
        <f t="shared" si="1"/>
        <v>1.2000000000000001E-3</v>
      </c>
    </row>
    <row r="51" spans="1:15" x14ac:dyDescent="0.15">
      <c r="A51" t="s">
        <v>69</v>
      </c>
      <c r="C51" s="1">
        <v>2</v>
      </c>
      <c r="D51" s="1" t="s">
        <v>78</v>
      </c>
      <c r="E51" s="1" t="s">
        <v>85</v>
      </c>
      <c r="F51" s="11" t="s">
        <v>85</v>
      </c>
      <c r="G51" s="1">
        <v>2</v>
      </c>
      <c r="H51">
        <v>5</v>
      </c>
      <c r="I51" s="1" t="s">
        <v>87</v>
      </c>
      <c r="J51" s="2">
        <v>0.56299999999999994</v>
      </c>
      <c r="K51" s="2">
        <v>0.43099999999999999</v>
      </c>
      <c r="L51" s="2">
        <v>1.4E-3</v>
      </c>
      <c r="M51" s="2">
        <v>4.0000000000000001E-3</v>
      </c>
      <c r="N51" s="2">
        <f t="shared" si="0"/>
        <v>0.43240000000000001</v>
      </c>
      <c r="O51" s="2">
        <f t="shared" si="1"/>
        <v>5.4000000000000003E-3</v>
      </c>
    </row>
    <row r="52" spans="1:15" x14ac:dyDescent="0.15">
      <c r="A52" t="s">
        <v>56</v>
      </c>
      <c r="C52" s="1">
        <v>1</v>
      </c>
      <c r="D52" s="1" t="s">
        <v>78</v>
      </c>
      <c r="E52" s="5" t="s">
        <v>112</v>
      </c>
      <c r="F52" s="11" t="s">
        <v>114</v>
      </c>
      <c r="G52" s="1">
        <v>3</v>
      </c>
      <c r="H52">
        <v>4</v>
      </c>
      <c r="I52" s="1" t="s">
        <v>83</v>
      </c>
      <c r="J52" s="2">
        <v>0.16700000000000001</v>
      </c>
      <c r="K52" s="2">
        <v>0.83</v>
      </c>
      <c r="L52" s="2">
        <v>1.5E-3</v>
      </c>
      <c r="M52" s="2">
        <v>1.8E-3</v>
      </c>
      <c r="N52" s="2">
        <f t="shared" si="0"/>
        <v>0.83149999999999991</v>
      </c>
      <c r="O52" s="2">
        <f t="shared" si="1"/>
        <v>3.3E-3</v>
      </c>
    </row>
    <row r="53" spans="1:15" x14ac:dyDescent="0.15">
      <c r="A53" t="s">
        <v>57</v>
      </c>
      <c r="C53" s="1">
        <v>2</v>
      </c>
      <c r="D53" s="1" t="s">
        <v>78</v>
      </c>
      <c r="E53" s="5" t="s">
        <v>112</v>
      </c>
      <c r="F53" s="11" t="s">
        <v>114</v>
      </c>
      <c r="G53" s="1">
        <v>3</v>
      </c>
      <c r="H53">
        <v>4</v>
      </c>
      <c r="I53" s="1" t="s">
        <v>83</v>
      </c>
      <c r="J53" s="2">
        <v>0.41099999999999998</v>
      </c>
      <c r="K53" s="2">
        <v>0.58699999999999997</v>
      </c>
      <c r="L53" s="2">
        <v>6.9999999999999999E-4</v>
      </c>
      <c r="M53" s="2">
        <v>1.1000000000000001E-3</v>
      </c>
      <c r="N53" s="2">
        <f t="shared" si="0"/>
        <v>0.5877</v>
      </c>
      <c r="O53" s="2">
        <f t="shared" si="1"/>
        <v>1.8E-3</v>
      </c>
    </row>
    <row r="54" spans="1:15" x14ac:dyDescent="0.15">
      <c r="A54" t="s">
        <v>72</v>
      </c>
      <c r="C54" s="1">
        <v>1</v>
      </c>
      <c r="D54" s="1" t="s">
        <v>78</v>
      </c>
      <c r="E54" s="5" t="s">
        <v>112</v>
      </c>
      <c r="F54" s="11" t="s">
        <v>114</v>
      </c>
      <c r="G54" s="1">
        <v>3</v>
      </c>
      <c r="H54">
        <v>5</v>
      </c>
      <c r="I54" s="1" t="s">
        <v>87</v>
      </c>
      <c r="J54" s="2">
        <v>0.49199999999999999</v>
      </c>
      <c r="K54" s="2">
        <v>0.503</v>
      </c>
      <c r="L54" s="2">
        <v>2E-3</v>
      </c>
      <c r="M54" s="2">
        <v>2.5000000000000001E-3</v>
      </c>
      <c r="N54" s="2">
        <f t="shared" si="0"/>
        <v>0.505</v>
      </c>
      <c r="O54" s="2">
        <f t="shared" si="1"/>
        <v>4.5000000000000005E-3</v>
      </c>
    </row>
    <row r="55" spans="1:15" x14ac:dyDescent="0.15">
      <c r="A55" t="s">
        <v>73</v>
      </c>
      <c r="C55" s="1">
        <v>2</v>
      </c>
      <c r="D55" s="1" t="s">
        <v>78</v>
      </c>
      <c r="E55" s="5" t="s">
        <v>112</v>
      </c>
      <c r="F55" s="11" t="s">
        <v>114</v>
      </c>
      <c r="G55" s="1">
        <v>3</v>
      </c>
      <c r="H55">
        <v>5</v>
      </c>
      <c r="I55" s="1" t="s">
        <v>87</v>
      </c>
      <c r="J55" s="2">
        <v>0.59599999999999997</v>
      </c>
      <c r="K55" s="2">
        <v>0.39600000000000002</v>
      </c>
      <c r="L55" s="2">
        <v>3.0999999999999999E-3</v>
      </c>
      <c r="M55" s="2">
        <v>5.7000000000000002E-3</v>
      </c>
      <c r="N55" s="2">
        <f t="shared" si="0"/>
        <v>0.39910000000000001</v>
      </c>
      <c r="O55" s="2">
        <f t="shared" si="1"/>
        <v>8.8000000000000005E-3</v>
      </c>
    </row>
    <row r="56" spans="1:15" x14ac:dyDescent="0.15">
      <c r="A56" t="s">
        <v>42</v>
      </c>
      <c r="C56" s="1">
        <v>1</v>
      </c>
      <c r="D56" s="1" t="s">
        <v>79</v>
      </c>
      <c r="E56" s="1" t="s">
        <v>109</v>
      </c>
      <c r="F56" s="11" t="s">
        <v>109</v>
      </c>
      <c r="G56" s="1">
        <v>0</v>
      </c>
      <c r="H56">
        <v>3</v>
      </c>
      <c r="I56" s="1" t="s">
        <v>82</v>
      </c>
      <c r="J56" s="2">
        <v>0.80400000000000005</v>
      </c>
      <c r="K56" s="2">
        <v>0.19600000000000001</v>
      </c>
      <c r="L56" s="3">
        <v>0</v>
      </c>
      <c r="M56" s="2">
        <v>1.1E-4</v>
      </c>
      <c r="N56" s="2">
        <f t="shared" si="0"/>
        <v>0.19600000000000001</v>
      </c>
      <c r="O56" s="2">
        <f t="shared" si="1"/>
        <v>1.1E-4</v>
      </c>
    </row>
    <row r="57" spans="1:15" x14ac:dyDescent="0.15">
      <c r="A57" t="s">
        <v>43</v>
      </c>
      <c r="C57" s="1">
        <v>2</v>
      </c>
      <c r="D57" s="1" t="s">
        <v>79</v>
      </c>
      <c r="E57" s="1" t="s">
        <v>109</v>
      </c>
      <c r="F57" s="11" t="s">
        <v>109</v>
      </c>
      <c r="G57" s="1">
        <v>0</v>
      </c>
      <c r="H57" s="1">
        <v>3</v>
      </c>
      <c r="I57" s="1" t="s">
        <v>82</v>
      </c>
      <c r="J57" s="2">
        <v>0.70099999999999996</v>
      </c>
      <c r="K57" s="2">
        <v>0.29699999999999999</v>
      </c>
      <c r="L57" s="2">
        <v>5.6999999999999998E-4</v>
      </c>
      <c r="M57" s="2">
        <v>1.6000000000000001E-3</v>
      </c>
      <c r="N57" s="2">
        <f t="shared" si="0"/>
        <v>0.29757</v>
      </c>
      <c r="O57" s="2">
        <f t="shared" si="1"/>
        <v>2.1700000000000001E-3</v>
      </c>
    </row>
    <row r="58" spans="1:15" x14ac:dyDescent="0.15">
      <c r="A58" t="s">
        <v>46</v>
      </c>
      <c r="C58" s="1">
        <v>1</v>
      </c>
      <c r="D58" s="1" t="s">
        <v>79</v>
      </c>
      <c r="E58" s="1" t="s">
        <v>109</v>
      </c>
      <c r="F58" s="11" t="s">
        <v>109</v>
      </c>
      <c r="G58" s="1">
        <v>0</v>
      </c>
      <c r="H58">
        <v>4</v>
      </c>
      <c r="I58" s="1" t="s">
        <v>83</v>
      </c>
      <c r="J58" s="2">
        <v>0.14499999999999999</v>
      </c>
      <c r="K58" s="2">
        <v>0.84499999999999997</v>
      </c>
      <c r="L58" s="2">
        <v>7.3000000000000001E-3</v>
      </c>
      <c r="M58" s="2">
        <v>2.3999999999999998E-3</v>
      </c>
      <c r="N58" s="2">
        <f t="shared" si="0"/>
        <v>0.85229999999999995</v>
      </c>
      <c r="O58" s="2">
        <f t="shared" si="1"/>
        <v>9.7000000000000003E-3</v>
      </c>
    </row>
    <row r="59" spans="1:15" x14ac:dyDescent="0.15">
      <c r="A59" t="s">
        <v>47</v>
      </c>
      <c r="C59" s="1">
        <v>2</v>
      </c>
      <c r="D59" s="1" t="s">
        <v>79</v>
      </c>
      <c r="E59" s="1" t="s">
        <v>109</v>
      </c>
      <c r="F59" s="11" t="s">
        <v>109</v>
      </c>
      <c r="G59" s="1">
        <v>0</v>
      </c>
      <c r="H59">
        <v>4</v>
      </c>
      <c r="I59" s="1" t="s">
        <v>83</v>
      </c>
      <c r="J59" s="2">
        <v>0.215</v>
      </c>
      <c r="K59" s="2">
        <v>0.78400000000000003</v>
      </c>
      <c r="L59" s="2">
        <v>5.9000000000000003E-4</v>
      </c>
      <c r="M59" s="2">
        <v>5.9000000000000003E-4</v>
      </c>
      <c r="N59" s="2">
        <f t="shared" si="0"/>
        <v>0.78459000000000001</v>
      </c>
      <c r="O59" s="2">
        <f t="shared" si="1"/>
        <v>1.1800000000000001E-3</v>
      </c>
    </row>
    <row r="60" spans="1:15" x14ac:dyDescent="0.15">
      <c r="A60" t="s">
        <v>62</v>
      </c>
      <c r="C60" s="1">
        <v>1</v>
      </c>
      <c r="D60" s="1" t="s">
        <v>79</v>
      </c>
      <c r="E60" s="1" t="s">
        <v>109</v>
      </c>
      <c r="F60" s="11" t="s">
        <v>109</v>
      </c>
      <c r="G60" s="1">
        <v>0</v>
      </c>
      <c r="H60">
        <v>5</v>
      </c>
      <c r="I60" s="1" t="s">
        <v>87</v>
      </c>
      <c r="J60" s="2">
        <v>0.129</v>
      </c>
      <c r="K60" s="2">
        <v>0.86899999999999999</v>
      </c>
      <c r="L60" s="2">
        <v>1.6000000000000001E-3</v>
      </c>
      <c r="M60" s="2">
        <v>4.8999999999999998E-4</v>
      </c>
      <c r="N60" s="2">
        <f t="shared" si="0"/>
        <v>0.87060000000000004</v>
      </c>
      <c r="O60" s="2">
        <f t="shared" si="1"/>
        <v>2.0899999999999998E-3</v>
      </c>
    </row>
    <row r="61" spans="1:15" x14ac:dyDescent="0.15">
      <c r="A61" t="s">
        <v>63</v>
      </c>
      <c r="C61" s="1">
        <v>2</v>
      </c>
      <c r="D61" s="1" t="s">
        <v>79</v>
      </c>
      <c r="E61" s="1" t="s">
        <v>109</v>
      </c>
      <c r="F61" s="11" t="s">
        <v>109</v>
      </c>
      <c r="G61" s="1">
        <v>0</v>
      </c>
      <c r="H61">
        <v>5</v>
      </c>
      <c r="I61" s="1" t="s">
        <v>87</v>
      </c>
      <c r="J61" s="2">
        <v>0.224</v>
      </c>
      <c r="K61" s="2">
        <v>0.74</v>
      </c>
      <c r="L61" s="2">
        <v>3.1800000000000002E-2</v>
      </c>
      <c r="M61" s="2">
        <v>3.8E-3</v>
      </c>
      <c r="N61" s="2">
        <f t="shared" si="0"/>
        <v>0.77180000000000004</v>
      </c>
      <c r="O61" s="2">
        <f t="shared" si="1"/>
        <v>3.56E-2</v>
      </c>
    </row>
    <row r="62" spans="1:15" x14ac:dyDescent="0.15">
      <c r="A62" t="s">
        <v>50</v>
      </c>
      <c r="C62" s="1">
        <v>1</v>
      </c>
      <c r="D62" s="1" t="s">
        <v>79</v>
      </c>
      <c r="E62" s="1" t="s">
        <v>84</v>
      </c>
      <c r="F62" s="11" t="s">
        <v>84</v>
      </c>
      <c r="G62" s="1">
        <v>1</v>
      </c>
      <c r="H62">
        <v>4</v>
      </c>
      <c r="I62" s="1" t="s">
        <v>83</v>
      </c>
      <c r="J62" s="2">
        <v>0.18099999999999999</v>
      </c>
      <c r="K62" s="2">
        <v>0.81599999999999995</v>
      </c>
      <c r="L62" s="2">
        <v>1.8E-3</v>
      </c>
      <c r="M62" s="2">
        <v>7.5000000000000002E-4</v>
      </c>
      <c r="N62" s="2">
        <f t="shared" si="0"/>
        <v>0.81779999999999997</v>
      </c>
      <c r="O62" s="2">
        <f t="shared" si="1"/>
        <v>2.5500000000000002E-3</v>
      </c>
    </row>
    <row r="63" spans="1:15" x14ac:dyDescent="0.15">
      <c r="A63" t="s">
        <v>51</v>
      </c>
      <c r="C63" s="1">
        <v>2</v>
      </c>
      <c r="D63" s="1" t="s">
        <v>79</v>
      </c>
      <c r="E63" s="1" t="s">
        <v>84</v>
      </c>
      <c r="F63" s="11" t="s">
        <v>84</v>
      </c>
      <c r="G63" s="1">
        <v>1</v>
      </c>
      <c r="H63">
        <v>4</v>
      </c>
      <c r="I63" s="1" t="s">
        <v>83</v>
      </c>
      <c r="J63" s="2">
        <v>0.14399999999999999</v>
      </c>
      <c r="K63" s="2">
        <v>0.85399999999999998</v>
      </c>
      <c r="L63" s="2">
        <v>1E-3</v>
      </c>
      <c r="M63" s="2">
        <v>3.5E-4</v>
      </c>
      <c r="N63" s="2">
        <f t="shared" si="0"/>
        <v>0.85499999999999998</v>
      </c>
      <c r="O63" s="2">
        <f t="shared" si="1"/>
        <v>1.3500000000000001E-3</v>
      </c>
    </row>
    <row r="64" spans="1:15" x14ac:dyDescent="0.15">
      <c r="A64" t="s">
        <v>66</v>
      </c>
      <c r="C64" s="1">
        <v>1</v>
      </c>
      <c r="D64" s="1" t="s">
        <v>79</v>
      </c>
      <c r="E64" s="1" t="s">
        <v>84</v>
      </c>
      <c r="F64" s="11" t="s">
        <v>84</v>
      </c>
      <c r="G64" s="1">
        <v>1</v>
      </c>
      <c r="H64">
        <v>5</v>
      </c>
      <c r="I64" s="1" t="s">
        <v>87</v>
      </c>
      <c r="J64" s="2">
        <v>0.113</v>
      </c>
      <c r="K64" s="2">
        <v>0.88600000000000001</v>
      </c>
      <c r="L64" s="2">
        <v>1.1000000000000001E-3</v>
      </c>
      <c r="M64" s="2">
        <v>3.5E-4</v>
      </c>
      <c r="N64" s="2">
        <f t="shared" si="0"/>
        <v>0.8871</v>
      </c>
      <c r="O64" s="2">
        <f t="shared" si="1"/>
        <v>1.4500000000000001E-3</v>
      </c>
    </row>
    <row r="65" spans="1:15" x14ac:dyDescent="0.15">
      <c r="A65" t="s">
        <v>67</v>
      </c>
      <c r="C65" s="1">
        <v>2</v>
      </c>
      <c r="D65" s="1" t="s">
        <v>79</v>
      </c>
      <c r="E65" s="1" t="s">
        <v>84</v>
      </c>
      <c r="F65" s="11" t="s">
        <v>84</v>
      </c>
      <c r="G65" s="1">
        <v>1</v>
      </c>
      <c r="H65">
        <v>5</v>
      </c>
      <c r="I65" s="1" t="s">
        <v>87</v>
      </c>
      <c r="J65" s="2">
        <v>0.17899999999999999</v>
      </c>
      <c r="K65" s="2">
        <v>0.79200000000000004</v>
      </c>
      <c r="L65" s="2">
        <v>2.47E-2</v>
      </c>
      <c r="M65" s="2">
        <v>4.0000000000000001E-3</v>
      </c>
      <c r="N65" s="2">
        <f t="shared" si="0"/>
        <v>0.81669999999999998</v>
      </c>
      <c r="O65" s="2">
        <f t="shared" si="1"/>
        <v>2.87E-2</v>
      </c>
    </row>
    <row r="66" spans="1:15" x14ac:dyDescent="0.15">
      <c r="A66" t="s">
        <v>54</v>
      </c>
      <c r="C66" s="1">
        <v>1</v>
      </c>
      <c r="D66" s="1" t="s">
        <v>79</v>
      </c>
      <c r="E66" s="1" t="s">
        <v>85</v>
      </c>
      <c r="F66" s="11" t="s">
        <v>85</v>
      </c>
      <c r="G66" s="1">
        <v>2</v>
      </c>
      <c r="H66">
        <v>4</v>
      </c>
      <c r="I66" s="1" t="s">
        <v>83</v>
      </c>
      <c r="J66" s="2">
        <v>0.20699999999999999</v>
      </c>
      <c r="K66" s="2">
        <v>0.78800000000000003</v>
      </c>
      <c r="L66" s="2">
        <v>2.8E-3</v>
      </c>
      <c r="M66" s="2">
        <v>2.3E-3</v>
      </c>
      <c r="N66" s="2">
        <f t="shared" si="0"/>
        <v>0.79080000000000006</v>
      </c>
      <c r="O66" s="2">
        <f t="shared" si="1"/>
        <v>5.1000000000000004E-3</v>
      </c>
    </row>
    <row r="67" spans="1:15" x14ac:dyDescent="0.15">
      <c r="A67" t="s">
        <v>55</v>
      </c>
      <c r="C67" s="1">
        <v>2</v>
      </c>
      <c r="D67" s="1" t="s">
        <v>79</v>
      </c>
      <c r="E67" s="1" t="s">
        <v>85</v>
      </c>
      <c r="F67" s="11" t="s">
        <v>85</v>
      </c>
      <c r="G67" s="1">
        <v>2</v>
      </c>
      <c r="H67">
        <v>4</v>
      </c>
      <c r="I67" s="1" t="s">
        <v>83</v>
      </c>
      <c r="J67" s="2">
        <v>0.36499999999999999</v>
      </c>
      <c r="K67" s="2">
        <v>0.63300000000000001</v>
      </c>
      <c r="L67" s="2">
        <v>5.9000000000000003E-4</v>
      </c>
      <c r="M67" s="2">
        <v>1.1000000000000001E-3</v>
      </c>
      <c r="N67" s="2">
        <f t="shared" ref="N67:N73" si="2">SUM(K67:L67)</f>
        <v>0.63358999999999999</v>
      </c>
      <c r="O67" s="2">
        <f t="shared" ref="O67:O73" si="3">SUM(L67:M67)</f>
        <v>1.6900000000000001E-3</v>
      </c>
    </row>
    <row r="68" spans="1:15" x14ac:dyDescent="0.15">
      <c r="A68" t="s">
        <v>70</v>
      </c>
      <c r="C68" s="1">
        <v>1</v>
      </c>
      <c r="D68" s="1" t="s">
        <v>79</v>
      </c>
      <c r="E68" s="1" t="s">
        <v>85</v>
      </c>
      <c r="F68" s="11" t="s">
        <v>85</v>
      </c>
      <c r="G68" s="1">
        <v>2</v>
      </c>
      <c r="H68">
        <v>5</v>
      </c>
      <c r="I68" s="1" t="s">
        <v>87</v>
      </c>
      <c r="J68" s="2">
        <v>0.442</v>
      </c>
      <c r="K68" s="2">
        <v>0.55500000000000005</v>
      </c>
      <c r="L68" s="2">
        <v>1.1000000000000001E-3</v>
      </c>
      <c r="M68" s="2">
        <v>2.5000000000000001E-3</v>
      </c>
      <c r="N68" s="2">
        <f t="shared" si="2"/>
        <v>0.55610000000000004</v>
      </c>
      <c r="O68" s="2">
        <f t="shared" si="3"/>
        <v>3.5999999999999999E-3</v>
      </c>
    </row>
    <row r="69" spans="1:15" x14ac:dyDescent="0.15">
      <c r="A69" t="s">
        <v>71</v>
      </c>
      <c r="C69" s="1">
        <v>2</v>
      </c>
      <c r="D69" s="1" t="s">
        <v>79</v>
      </c>
      <c r="E69" s="1" t="s">
        <v>85</v>
      </c>
      <c r="F69" s="11" t="s">
        <v>85</v>
      </c>
      <c r="G69" s="1">
        <v>2</v>
      </c>
      <c r="H69">
        <v>5</v>
      </c>
      <c r="I69" s="1" t="s">
        <v>87</v>
      </c>
      <c r="J69" s="2">
        <v>0.52500000000000002</v>
      </c>
      <c r="K69" s="2">
        <v>0.46200000000000002</v>
      </c>
      <c r="L69" s="2">
        <v>4.4999999999999997E-3</v>
      </c>
      <c r="M69" s="2">
        <v>8.2000000000000007E-3</v>
      </c>
      <c r="N69" s="2">
        <f t="shared" si="2"/>
        <v>0.46650000000000003</v>
      </c>
      <c r="O69" s="2">
        <f t="shared" si="3"/>
        <v>1.2699999999999999E-2</v>
      </c>
    </row>
    <row r="70" spans="1:15" x14ac:dyDescent="0.15">
      <c r="A70" t="s">
        <v>58</v>
      </c>
      <c r="C70" s="1">
        <v>1</v>
      </c>
      <c r="D70" s="1" t="s">
        <v>79</v>
      </c>
      <c r="E70" s="5" t="s">
        <v>112</v>
      </c>
      <c r="F70" s="11" t="s">
        <v>114</v>
      </c>
      <c r="G70" s="1">
        <v>3</v>
      </c>
      <c r="H70">
        <v>4</v>
      </c>
      <c r="I70" s="1" t="s">
        <v>83</v>
      </c>
      <c r="J70" s="2">
        <v>0.2</v>
      </c>
      <c r="K70" s="2">
        <v>0.79700000000000004</v>
      </c>
      <c r="L70" s="2">
        <v>1.6999999999999999E-3</v>
      </c>
      <c r="M70" s="2">
        <v>1.2999999999999999E-3</v>
      </c>
      <c r="N70" s="2">
        <f t="shared" si="2"/>
        <v>0.79870000000000008</v>
      </c>
      <c r="O70" s="2">
        <f t="shared" si="3"/>
        <v>3.0000000000000001E-3</v>
      </c>
    </row>
    <row r="71" spans="1:15" x14ac:dyDescent="0.15">
      <c r="A71" t="s">
        <v>59</v>
      </c>
      <c r="C71" s="1">
        <v>2</v>
      </c>
      <c r="D71" s="1" t="s">
        <v>79</v>
      </c>
      <c r="E71" s="5" t="s">
        <v>112</v>
      </c>
      <c r="F71" s="11" t="s">
        <v>114</v>
      </c>
      <c r="G71" s="1">
        <v>3</v>
      </c>
      <c r="H71">
        <v>4</v>
      </c>
      <c r="I71" s="1" t="s">
        <v>83</v>
      </c>
      <c r="J71" s="2">
        <v>0.51100000000000001</v>
      </c>
      <c r="K71" s="2">
        <v>0.48599999999999999</v>
      </c>
      <c r="L71" s="2">
        <v>9.5E-4</v>
      </c>
      <c r="M71" s="2">
        <v>1.1999999999999999E-3</v>
      </c>
      <c r="N71" s="2">
        <f t="shared" si="2"/>
        <v>0.48694999999999999</v>
      </c>
      <c r="O71" s="2">
        <f t="shared" si="3"/>
        <v>2.15E-3</v>
      </c>
    </row>
    <row r="72" spans="1:15" x14ac:dyDescent="0.15">
      <c r="A72" t="s">
        <v>74</v>
      </c>
      <c r="C72" s="1">
        <v>1</v>
      </c>
      <c r="D72" s="1" t="s">
        <v>79</v>
      </c>
      <c r="E72" s="5" t="s">
        <v>112</v>
      </c>
      <c r="F72" s="11" t="s">
        <v>114</v>
      </c>
      <c r="G72" s="1">
        <v>3</v>
      </c>
      <c r="H72">
        <v>5</v>
      </c>
      <c r="I72" s="1" t="s">
        <v>87</v>
      </c>
      <c r="J72" s="2">
        <v>0.42299999999999999</v>
      </c>
      <c r="K72" s="2">
        <v>0.57199999999999995</v>
      </c>
      <c r="L72" s="2">
        <v>3.2000000000000002E-3</v>
      </c>
      <c r="M72" s="2">
        <v>1.9E-3</v>
      </c>
      <c r="N72" s="2">
        <f t="shared" si="2"/>
        <v>0.57519999999999993</v>
      </c>
      <c r="O72" s="2">
        <f t="shared" si="3"/>
        <v>5.1000000000000004E-3</v>
      </c>
    </row>
    <row r="73" spans="1:15" x14ac:dyDescent="0.15">
      <c r="A73" t="s">
        <v>75</v>
      </c>
      <c r="C73" s="1">
        <v>2</v>
      </c>
      <c r="D73" s="1" t="s">
        <v>79</v>
      </c>
      <c r="E73" s="5" t="s">
        <v>112</v>
      </c>
      <c r="F73" s="11" t="s">
        <v>114</v>
      </c>
      <c r="G73" s="1">
        <v>3</v>
      </c>
      <c r="H73">
        <v>5</v>
      </c>
      <c r="I73" s="1" t="s">
        <v>87</v>
      </c>
      <c r="J73" s="2">
        <v>0.53600000000000003</v>
      </c>
      <c r="K73" s="2">
        <v>0.45100000000000001</v>
      </c>
      <c r="L73" s="2">
        <v>6.4999999999999997E-3</v>
      </c>
      <c r="M73" s="2">
        <v>6.4000000000000003E-3</v>
      </c>
      <c r="N73" s="2">
        <f t="shared" si="2"/>
        <v>0.45750000000000002</v>
      </c>
      <c r="O73" s="2">
        <f t="shared" si="3"/>
        <v>1.29E-2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560B-8506-6E45-A209-B31F95F93D30}">
  <dimension ref="A1:V37"/>
  <sheetViews>
    <sheetView zoomScale="90" zoomScaleNormal="90" workbookViewId="0">
      <selection activeCell="B2" sqref="B2:B37"/>
    </sheetView>
  </sheetViews>
  <sheetFormatPr baseColWidth="10" defaultRowHeight="13" x14ac:dyDescent="0.15"/>
  <sheetData>
    <row r="1" spans="1:22" x14ac:dyDescent="0.15">
      <c r="B1" s="1" t="s">
        <v>76</v>
      </c>
      <c r="C1" s="1" t="s">
        <v>88</v>
      </c>
      <c r="D1" s="1" t="s">
        <v>77</v>
      </c>
      <c r="E1" s="1" t="s">
        <v>89</v>
      </c>
      <c r="F1" s="1" t="s">
        <v>81</v>
      </c>
      <c r="G1" t="s">
        <v>0</v>
      </c>
      <c r="H1" t="s">
        <v>1</v>
      </c>
      <c r="I1" t="s">
        <v>2</v>
      </c>
      <c r="J1" t="s">
        <v>3</v>
      </c>
      <c r="K1" s="1" t="s">
        <v>90</v>
      </c>
      <c r="L1" s="1" t="s">
        <v>91</v>
      </c>
      <c r="N1" s="1" t="s">
        <v>92</v>
      </c>
      <c r="O1" t="s">
        <v>0</v>
      </c>
      <c r="P1" t="s">
        <v>1</v>
      </c>
      <c r="Q1" t="s">
        <v>2</v>
      </c>
      <c r="R1" t="s">
        <v>3</v>
      </c>
      <c r="S1" s="1" t="s">
        <v>90</v>
      </c>
      <c r="T1" s="1" t="s">
        <v>91</v>
      </c>
      <c r="U1" s="1" t="s">
        <v>94</v>
      </c>
      <c r="V1" s="1" t="s">
        <v>95</v>
      </c>
    </row>
    <row r="2" spans="1:22" x14ac:dyDescent="0.15">
      <c r="A2" s="4" t="s">
        <v>4</v>
      </c>
      <c r="B2" s="5" t="s">
        <v>110</v>
      </c>
      <c r="C2" s="5">
        <v>1</v>
      </c>
      <c r="D2" s="5" t="s">
        <v>80</v>
      </c>
      <c r="E2" s="5">
        <v>0</v>
      </c>
      <c r="F2" s="5" t="s">
        <v>82</v>
      </c>
      <c r="G2" s="6">
        <v>0.69099999999999995</v>
      </c>
      <c r="H2" s="6">
        <v>0.307</v>
      </c>
      <c r="I2" s="6">
        <v>1.1999999999999999E-3</v>
      </c>
      <c r="J2" s="6">
        <v>9.7000000000000005E-4</v>
      </c>
      <c r="K2" s="2">
        <f>SUM(H2:I2)</f>
        <v>0.30819999999999997</v>
      </c>
      <c r="L2" s="2">
        <f>SUM(I2:J2)</f>
        <v>2.1700000000000001E-3</v>
      </c>
      <c r="M2" s="9" t="s">
        <v>80</v>
      </c>
      <c r="N2" s="1" t="s">
        <v>82</v>
      </c>
      <c r="O2" s="2">
        <f t="shared" ref="O2:T2" si="0">AVERAGE(G2:G3)</f>
        <v>0.70699999999999996</v>
      </c>
      <c r="P2" s="2">
        <f t="shared" si="0"/>
        <v>0.29100000000000004</v>
      </c>
      <c r="Q2" s="2">
        <f t="shared" si="0"/>
        <v>1.15E-3</v>
      </c>
      <c r="R2" s="2">
        <f t="shared" si="0"/>
        <v>1.0350000000000001E-3</v>
      </c>
      <c r="S2" s="2">
        <f t="shared" si="0"/>
        <v>0.29215000000000002</v>
      </c>
      <c r="T2" s="2">
        <f t="shared" si="0"/>
        <v>2.1850000000000003E-3</v>
      </c>
      <c r="U2" s="2">
        <f>_xlfn.STDEV.P(K2:K3)</f>
        <v>1.6049999999999981E-2</v>
      </c>
      <c r="V2" s="2">
        <f>_xlfn.STDEV.P(L2:L3)</f>
        <v>1.5000000000000039E-5</v>
      </c>
    </row>
    <row r="3" spans="1:22" x14ac:dyDescent="0.15">
      <c r="A3" s="4" t="s">
        <v>5</v>
      </c>
      <c r="B3" s="5" t="s">
        <v>110</v>
      </c>
      <c r="C3" s="5">
        <v>2</v>
      </c>
      <c r="D3" s="5" t="s">
        <v>80</v>
      </c>
      <c r="E3" s="5">
        <v>0</v>
      </c>
      <c r="F3" s="5" t="s">
        <v>82</v>
      </c>
      <c r="G3" s="6">
        <v>0.72299999999999998</v>
      </c>
      <c r="H3" s="6">
        <v>0.27500000000000002</v>
      </c>
      <c r="I3" s="6">
        <v>1.1000000000000001E-3</v>
      </c>
      <c r="J3" s="6">
        <v>1.1000000000000001E-3</v>
      </c>
      <c r="K3" s="2">
        <f t="shared" ref="K3:L37" si="1">SUM(H3:I3)</f>
        <v>0.27610000000000001</v>
      </c>
      <c r="L3" s="2">
        <f t="shared" si="1"/>
        <v>2.2000000000000001E-3</v>
      </c>
      <c r="M3" s="9"/>
      <c r="N3" s="1" t="s">
        <v>83</v>
      </c>
      <c r="O3" s="2">
        <f t="shared" ref="O3:T3" si="2">AVERAGE(G4:G5)</f>
        <v>0.11545</v>
      </c>
      <c r="P3" s="2">
        <f t="shared" si="2"/>
        <v>0.87949999999999995</v>
      </c>
      <c r="Q3" s="2">
        <f t="shared" si="2"/>
        <v>4.5300000000000002E-3</v>
      </c>
      <c r="R3" s="2">
        <f t="shared" si="2"/>
        <v>4.55E-4</v>
      </c>
      <c r="S3" s="2">
        <f t="shared" si="2"/>
        <v>0.88402999999999998</v>
      </c>
      <c r="T3" s="2">
        <f t="shared" si="2"/>
        <v>4.9849999999999998E-3</v>
      </c>
      <c r="U3" s="2">
        <f>_xlfn.STDEV.P(K4:K5)</f>
        <v>7.5469999999999926E-2</v>
      </c>
      <c r="V3" s="2">
        <f>_xlfn.STDEV.P(L4:L5)</f>
        <v>4.2050000000000004E-3</v>
      </c>
    </row>
    <row r="4" spans="1:22" x14ac:dyDescent="0.15">
      <c r="A4" s="4" t="s">
        <v>8</v>
      </c>
      <c r="B4" s="5" t="s">
        <v>110</v>
      </c>
      <c r="C4" s="5">
        <v>1</v>
      </c>
      <c r="D4" s="5" t="s">
        <v>80</v>
      </c>
      <c r="E4" s="5">
        <v>0</v>
      </c>
      <c r="F4" s="5" t="s">
        <v>83</v>
      </c>
      <c r="G4" s="6">
        <v>3.9899999999999998E-2</v>
      </c>
      <c r="H4" s="6">
        <v>0.95099999999999996</v>
      </c>
      <c r="I4" s="6">
        <v>8.5000000000000006E-3</v>
      </c>
      <c r="J4" s="6">
        <v>6.8999999999999997E-4</v>
      </c>
      <c r="K4" s="2">
        <f t="shared" si="1"/>
        <v>0.95949999999999991</v>
      </c>
      <c r="L4" s="2">
        <f t="shared" si="1"/>
        <v>9.1900000000000003E-3</v>
      </c>
      <c r="M4" s="9"/>
      <c r="N4" s="1" t="s">
        <v>87</v>
      </c>
      <c r="O4" s="2">
        <f t="shared" ref="O4:T4" si="3">AVERAGE(G6:G7)</f>
        <v>0.22049999999999997</v>
      </c>
      <c r="P4" s="2">
        <f t="shared" si="3"/>
        <v>0.754</v>
      </c>
      <c r="Q4" s="2">
        <f t="shared" si="3"/>
        <v>2.205E-2</v>
      </c>
      <c r="R4" s="2">
        <f t="shared" si="3"/>
        <v>3.0500000000000002E-3</v>
      </c>
      <c r="S4" s="2">
        <f t="shared" si="3"/>
        <v>0.77605000000000002</v>
      </c>
      <c r="T4" s="2">
        <f t="shared" si="3"/>
        <v>2.5100000000000001E-2</v>
      </c>
      <c r="U4" s="2">
        <f>_xlfn.STDEV.P(K6:K7)</f>
        <v>7.2649999999999992E-2</v>
      </c>
      <c r="V4" s="2">
        <f>_xlfn.STDEV.P(L6:L7)</f>
        <v>9.9999999999999967E-3</v>
      </c>
    </row>
    <row r="5" spans="1:22" x14ac:dyDescent="0.15">
      <c r="A5" s="4" t="s">
        <v>9</v>
      </c>
      <c r="B5" s="5" t="s">
        <v>110</v>
      </c>
      <c r="C5" s="5">
        <v>2</v>
      </c>
      <c r="D5" s="5" t="s">
        <v>80</v>
      </c>
      <c r="E5" s="5">
        <v>0</v>
      </c>
      <c r="F5" s="5" t="s">
        <v>83</v>
      </c>
      <c r="G5" s="6">
        <v>0.191</v>
      </c>
      <c r="H5" s="6">
        <v>0.80800000000000005</v>
      </c>
      <c r="I5" s="6">
        <v>5.5999999999999995E-4</v>
      </c>
      <c r="J5" s="6">
        <v>2.2000000000000001E-4</v>
      </c>
      <c r="K5" s="2">
        <f t="shared" si="1"/>
        <v>0.80856000000000006</v>
      </c>
      <c r="L5" s="2">
        <f t="shared" si="1"/>
        <v>7.7999999999999999E-4</v>
      </c>
      <c r="M5" s="9" t="s">
        <v>84</v>
      </c>
      <c r="N5" s="1" t="s">
        <v>83</v>
      </c>
      <c r="O5" s="2">
        <f t="shared" ref="O5:T5" si="4">AVERAGE(G8:G9)</f>
        <v>6.8900000000000003E-2</v>
      </c>
      <c r="P5" s="2">
        <f t="shared" si="4"/>
        <v>0.92599999999999993</v>
      </c>
      <c r="Q5" s="2">
        <f t="shared" si="4"/>
        <v>4.1999999999999997E-3</v>
      </c>
      <c r="R5" s="2">
        <f t="shared" si="4"/>
        <v>5.5000000000000003E-4</v>
      </c>
      <c r="S5" s="2">
        <f t="shared" si="4"/>
        <v>0.93020000000000003</v>
      </c>
      <c r="T5" s="2">
        <f t="shared" si="4"/>
        <v>4.7499999999999999E-3</v>
      </c>
      <c r="U5" s="2">
        <f>_xlfn.STDEV.P(K8:K9)</f>
        <v>2.4599999999999955E-2</v>
      </c>
      <c r="V5" s="2">
        <f>_xlfn.STDEV.P(L8:L9)</f>
        <v>2.5999999999999999E-3</v>
      </c>
    </row>
    <row r="6" spans="1:22" x14ac:dyDescent="0.15">
      <c r="A6" s="4" t="s">
        <v>24</v>
      </c>
      <c r="B6" s="5" t="s">
        <v>110</v>
      </c>
      <c r="C6" s="5">
        <v>1</v>
      </c>
      <c r="D6" s="5" t="s">
        <v>80</v>
      </c>
      <c r="E6" s="5">
        <v>0</v>
      </c>
      <c r="F6" s="5" t="s">
        <v>87</v>
      </c>
      <c r="G6" s="6">
        <v>0.14899999999999999</v>
      </c>
      <c r="H6" s="6">
        <v>0.83499999999999996</v>
      </c>
      <c r="I6" s="6">
        <v>1.37E-2</v>
      </c>
      <c r="J6" s="6">
        <v>1.4E-3</v>
      </c>
      <c r="K6" s="2">
        <f t="shared" si="1"/>
        <v>0.84870000000000001</v>
      </c>
      <c r="L6" s="2">
        <f t="shared" si="1"/>
        <v>1.5100000000000001E-2</v>
      </c>
      <c r="M6" s="9"/>
      <c r="N6" s="1" t="s">
        <v>87</v>
      </c>
      <c r="O6" s="2">
        <f t="shared" ref="O6:T6" si="5">AVERAGE(G10:G11)</f>
        <v>0.11499999999999999</v>
      </c>
      <c r="P6" s="2">
        <f t="shared" si="5"/>
        <v>0.872</v>
      </c>
      <c r="Q6" s="2">
        <f t="shared" si="5"/>
        <v>1.2199999999999999E-2</v>
      </c>
      <c r="R6" s="2">
        <f t="shared" si="5"/>
        <v>8.5999999999999998E-4</v>
      </c>
      <c r="S6" s="2">
        <f t="shared" si="5"/>
        <v>0.88419999999999999</v>
      </c>
      <c r="T6" s="2">
        <f t="shared" si="5"/>
        <v>1.3059999999999999E-2</v>
      </c>
      <c r="U6" s="2">
        <f>_xlfn.STDEV.P(K10:K11)</f>
        <v>5.8000000000000274E-3</v>
      </c>
      <c r="V6" s="2">
        <f>_xlfn.STDEV.P(L10:L11)</f>
        <v>1.8500000000000001E-3</v>
      </c>
    </row>
    <row r="7" spans="1:22" x14ac:dyDescent="0.15">
      <c r="A7" s="4" t="s">
        <v>25</v>
      </c>
      <c r="B7" s="5" t="s">
        <v>110</v>
      </c>
      <c r="C7" s="5">
        <v>2</v>
      </c>
      <c r="D7" s="5" t="s">
        <v>80</v>
      </c>
      <c r="E7" s="5">
        <v>0</v>
      </c>
      <c r="F7" s="5" t="s">
        <v>87</v>
      </c>
      <c r="G7" s="6">
        <v>0.29199999999999998</v>
      </c>
      <c r="H7" s="6">
        <v>0.67300000000000004</v>
      </c>
      <c r="I7" s="6">
        <v>3.04E-2</v>
      </c>
      <c r="J7" s="6">
        <v>4.7000000000000002E-3</v>
      </c>
      <c r="K7" s="2">
        <f t="shared" si="1"/>
        <v>0.70340000000000003</v>
      </c>
      <c r="L7" s="2">
        <f t="shared" si="1"/>
        <v>3.5099999999999999E-2</v>
      </c>
      <c r="M7" s="9" t="s">
        <v>85</v>
      </c>
      <c r="N7" s="1" t="s">
        <v>83</v>
      </c>
      <c r="O7" s="2">
        <f t="shared" ref="O7:T7" si="6">AVERAGE(G12:G13)</f>
        <v>0.35049999999999998</v>
      </c>
      <c r="P7" s="2">
        <f t="shared" si="6"/>
        <v>0.64600000000000002</v>
      </c>
      <c r="Q7" s="2">
        <f t="shared" si="6"/>
        <v>2.8549999999999999E-3</v>
      </c>
      <c r="R7" s="2">
        <f t="shared" si="6"/>
        <v>7.85E-4</v>
      </c>
      <c r="S7" s="2">
        <f t="shared" si="6"/>
        <v>0.64885499999999996</v>
      </c>
      <c r="T7" s="2">
        <f t="shared" si="6"/>
        <v>3.64E-3</v>
      </c>
      <c r="U7" s="2">
        <f>_xlfn.STDEV.P(K12:K13)</f>
        <v>0.24114500000000016</v>
      </c>
      <c r="V7" s="2">
        <f>_xlfn.STDEV.P(L12:L13)</f>
        <v>2.4600000000000004E-3</v>
      </c>
    </row>
    <row r="8" spans="1:22" x14ac:dyDescent="0.15">
      <c r="A8" s="4" t="s">
        <v>12</v>
      </c>
      <c r="B8" s="5" t="s">
        <v>110</v>
      </c>
      <c r="C8" s="5">
        <v>1</v>
      </c>
      <c r="D8" s="5" t="s">
        <v>84</v>
      </c>
      <c r="E8" s="5">
        <v>1</v>
      </c>
      <c r="F8" s="5" t="s">
        <v>83</v>
      </c>
      <c r="G8" s="6">
        <v>4.4200000000000003E-2</v>
      </c>
      <c r="H8" s="6">
        <v>0.94799999999999995</v>
      </c>
      <c r="I8" s="6">
        <v>6.7999999999999996E-3</v>
      </c>
      <c r="J8" s="6">
        <v>5.5000000000000003E-4</v>
      </c>
      <c r="K8" s="2">
        <f t="shared" si="1"/>
        <v>0.95479999999999998</v>
      </c>
      <c r="L8" s="2">
        <f t="shared" si="1"/>
        <v>7.3499999999999998E-3</v>
      </c>
      <c r="M8" s="9"/>
      <c r="N8" s="1" t="s">
        <v>87</v>
      </c>
      <c r="O8" s="2">
        <f t="shared" ref="O8:T8" si="7">AVERAGE(G14:G15)</f>
        <v>0.48149999999999998</v>
      </c>
      <c r="P8" s="2">
        <f t="shared" si="7"/>
        <v>0.51200000000000001</v>
      </c>
      <c r="Q8" s="2">
        <f t="shared" si="7"/>
        <v>1.9199999999999998E-3</v>
      </c>
      <c r="R8" s="2">
        <f t="shared" si="7"/>
        <v>4.7499999999999999E-3</v>
      </c>
      <c r="S8" s="2">
        <f t="shared" si="7"/>
        <v>0.51392000000000004</v>
      </c>
      <c r="T8" s="2">
        <f t="shared" si="7"/>
        <v>6.6699999999999997E-3</v>
      </c>
      <c r="U8" s="2">
        <f>_xlfn.STDEV.P(K14:K15)</f>
        <v>0.11997999999999989</v>
      </c>
      <c r="V8" s="2">
        <f>_xlfn.STDEV.P(L14:L15)</f>
        <v>5.7000000000000019E-4</v>
      </c>
    </row>
    <row r="9" spans="1:22" x14ac:dyDescent="0.15">
      <c r="A9" s="4" t="s">
        <v>13</v>
      </c>
      <c r="B9" s="5" t="s">
        <v>110</v>
      </c>
      <c r="C9" s="5">
        <v>2</v>
      </c>
      <c r="D9" s="5" t="s">
        <v>84</v>
      </c>
      <c r="E9" s="5">
        <v>1</v>
      </c>
      <c r="F9" s="5" t="s">
        <v>83</v>
      </c>
      <c r="G9" s="6">
        <v>9.3600000000000003E-2</v>
      </c>
      <c r="H9" s="6">
        <v>0.90400000000000003</v>
      </c>
      <c r="I9" s="6">
        <v>1.6000000000000001E-3</v>
      </c>
      <c r="J9" s="6">
        <v>5.5000000000000003E-4</v>
      </c>
      <c r="K9" s="2">
        <f t="shared" si="1"/>
        <v>0.90560000000000007</v>
      </c>
      <c r="L9" s="2">
        <f t="shared" si="1"/>
        <v>2.15E-3</v>
      </c>
      <c r="M9" s="9" t="s">
        <v>86</v>
      </c>
      <c r="N9" s="1" t="s">
        <v>83</v>
      </c>
      <c r="O9" s="2">
        <f t="shared" ref="O9:T9" si="8">AVERAGE(G16:G17)</f>
        <v>0.34849999999999998</v>
      </c>
      <c r="P9" s="2">
        <f t="shared" si="8"/>
        <v>0.64649999999999996</v>
      </c>
      <c r="Q9" s="2">
        <f t="shared" si="8"/>
        <v>3.4300000000000003E-3</v>
      </c>
      <c r="R9" s="2">
        <f t="shared" si="8"/>
        <v>1.7000000000000001E-3</v>
      </c>
      <c r="S9" s="2">
        <f t="shared" si="8"/>
        <v>0.64993000000000001</v>
      </c>
      <c r="T9" s="2">
        <f t="shared" si="8"/>
        <v>5.13E-3</v>
      </c>
      <c r="U9" s="2">
        <f>_xlfn.STDEV.P(K16:K17)</f>
        <v>0.2354699999999999</v>
      </c>
      <c r="V9" s="2">
        <f>_xlfn.STDEV.P(L16:L17)</f>
        <v>2.4700000000000004E-3</v>
      </c>
    </row>
    <row r="10" spans="1:22" x14ac:dyDescent="0.15">
      <c r="A10" s="4" t="s">
        <v>28</v>
      </c>
      <c r="B10" s="5" t="s">
        <v>110</v>
      </c>
      <c r="C10" s="5">
        <v>1</v>
      </c>
      <c r="D10" s="5" t="s">
        <v>84</v>
      </c>
      <c r="E10" s="5">
        <v>1</v>
      </c>
      <c r="F10" s="5" t="s">
        <v>87</v>
      </c>
      <c r="G10" s="6">
        <v>0.121</v>
      </c>
      <c r="H10" s="6">
        <v>0.86799999999999999</v>
      </c>
      <c r="I10" s="6">
        <v>1.04E-2</v>
      </c>
      <c r="J10" s="6">
        <v>8.0999999999999996E-4</v>
      </c>
      <c r="K10" s="2">
        <f t="shared" si="1"/>
        <v>0.87839999999999996</v>
      </c>
      <c r="L10" s="2">
        <f t="shared" si="1"/>
        <v>1.1209999999999999E-2</v>
      </c>
      <c r="M10" s="9"/>
      <c r="N10" s="1" t="s">
        <v>87</v>
      </c>
      <c r="O10" s="2">
        <f t="shared" ref="O10:T10" si="9">AVERAGE(G18:G19)</f>
        <v>0.39749999999999996</v>
      </c>
      <c r="P10" s="2">
        <f t="shared" si="9"/>
        <v>0.58699999999999997</v>
      </c>
      <c r="Q10" s="2">
        <f t="shared" si="9"/>
        <v>8.3000000000000001E-3</v>
      </c>
      <c r="R10" s="2">
        <f t="shared" si="9"/>
        <v>7.4000000000000003E-3</v>
      </c>
      <c r="S10" s="2">
        <f t="shared" si="9"/>
        <v>0.59529999999999994</v>
      </c>
      <c r="T10" s="2">
        <f t="shared" si="9"/>
        <v>1.5699999999999999E-2</v>
      </c>
      <c r="U10" s="2">
        <f>_xlfn.STDEV.P(K18:K19)</f>
        <v>4.8999999999999988E-2</v>
      </c>
      <c r="V10" s="2">
        <f>_xlfn.STDEV.P(L18:L19)</f>
        <v>2.5999999999999999E-3</v>
      </c>
    </row>
    <row r="11" spans="1:22" x14ac:dyDescent="0.15">
      <c r="A11" s="4" t="s">
        <v>29</v>
      </c>
      <c r="B11" s="5" t="s">
        <v>110</v>
      </c>
      <c r="C11" s="5">
        <v>2</v>
      </c>
      <c r="D11" s="5" t="s">
        <v>84</v>
      </c>
      <c r="E11" s="5">
        <v>1</v>
      </c>
      <c r="F11" s="5" t="s">
        <v>87</v>
      </c>
      <c r="G11" s="6">
        <v>0.109</v>
      </c>
      <c r="H11" s="6">
        <v>0.876</v>
      </c>
      <c r="I11" s="6">
        <v>1.4E-2</v>
      </c>
      <c r="J11" s="6">
        <v>9.1E-4</v>
      </c>
      <c r="K11" s="2">
        <f t="shared" si="1"/>
        <v>0.89</v>
      </c>
      <c r="L11" s="2">
        <f t="shared" si="1"/>
        <v>1.491E-2</v>
      </c>
      <c r="N11" s="1" t="s">
        <v>93</v>
      </c>
      <c r="O11" s="2"/>
      <c r="P11" s="2"/>
      <c r="Q11" s="2"/>
      <c r="R11" s="2"/>
      <c r="S11" s="2"/>
      <c r="T11" s="2"/>
      <c r="U11" s="2"/>
      <c r="V11" s="2"/>
    </row>
    <row r="12" spans="1:22" x14ac:dyDescent="0.15">
      <c r="A12" s="4" t="s">
        <v>16</v>
      </c>
      <c r="B12" s="5" t="s">
        <v>110</v>
      </c>
      <c r="C12" s="5">
        <v>1</v>
      </c>
      <c r="D12" s="5" t="s">
        <v>85</v>
      </c>
      <c r="E12" s="5">
        <v>2</v>
      </c>
      <c r="F12" s="5" t="s">
        <v>83</v>
      </c>
      <c r="G12" s="6">
        <v>0.109</v>
      </c>
      <c r="H12" s="6">
        <v>0.88500000000000001</v>
      </c>
      <c r="I12" s="6">
        <v>5.0000000000000001E-3</v>
      </c>
      <c r="J12" s="6">
        <v>1.1000000000000001E-3</v>
      </c>
      <c r="K12" s="2">
        <f t="shared" si="1"/>
        <v>0.89</v>
      </c>
      <c r="L12" s="2">
        <f t="shared" si="1"/>
        <v>6.1000000000000004E-3</v>
      </c>
      <c r="M12" s="1" t="s">
        <v>80</v>
      </c>
      <c r="N12" s="1" t="s">
        <v>82</v>
      </c>
      <c r="O12" s="2">
        <f t="shared" ref="O12:T12" si="10">AVERAGE(G20:G21)</f>
        <v>0.85199999999999998</v>
      </c>
      <c r="P12" s="2">
        <f t="shared" si="10"/>
        <v>0.14700000000000002</v>
      </c>
      <c r="Q12" s="2">
        <f t="shared" si="10"/>
        <v>2.2000000000000001E-4</v>
      </c>
      <c r="R12" s="2">
        <f t="shared" si="10"/>
        <v>9.8999999999999999E-4</v>
      </c>
      <c r="S12" s="2">
        <f t="shared" si="10"/>
        <v>0.14722000000000002</v>
      </c>
      <c r="T12" s="2">
        <f t="shared" si="10"/>
        <v>1.2100000000000001E-3</v>
      </c>
      <c r="U12" s="2">
        <f>_xlfn.STDEV.P(K20:K21)</f>
        <v>1.510999999999986E-2</v>
      </c>
      <c r="V12" s="2">
        <f>_xlfn.STDEV.P(L20:L21)</f>
        <v>0</v>
      </c>
    </row>
    <row r="13" spans="1:22" x14ac:dyDescent="0.15">
      <c r="A13" s="4" t="s">
        <v>17</v>
      </c>
      <c r="B13" s="5" t="s">
        <v>110</v>
      </c>
      <c r="C13" s="5">
        <v>2</v>
      </c>
      <c r="D13" s="5" t="s">
        <v>85</v>
      </c>
      <c r="E13" s="5">
        <v>2</v>
      </c>
      <c r="F13" s="5" t="s">
        <v>83</v>
      </c>
      <c r="G13" s="6">
        <v>0.59199999999999997</v>
      </c>
      <c r="H13" s="6">
        <v>0.40699999999999997</v>
      </c>
      <c r="I13" s="6">
        <v>7.1000000000000002E-4</v>
      </c>
      <c r="J13" s="6">
        <v>4.6999999999999999E-4</v>
      </c>
      <c r="K13" s="2">
        <f t="shared" si="1"/>
        <v>0.40770999999999996</v>
      </c>
      <c r="L13" s="2">
        <f t="shared" si="1"/>
        <v>1.1800000000000001E-3</v>
      </c>
      <c r="N13" s="1" t="s">
        <v>83</v>
      </c>
      <c r="O13" s="2">
        <f t="shared" ref="O13:T13" si="11">AVERAGE(G22:G23)</f>
        <v>0.20730000000000001</v>
      </c>
      <c r="P13" s="2">
        <f t="shared" si="11"/>
        <v>0.78899999999999992</v>
      </c>
      <c r="Q13" s="2">
        <f t="shared" si="11"/>
        <v>3.2099999999999997E-3</v>
      </c>
      <c r="R13" s="2">
        <f t="shared" si="11"/>
        <v>6.7000000000000002E-4</v>
      </c>
      <c r="S13" s="2">
        <f t="shared" si="11"/>
        <v>0.79220999999999997</v>
      </c>
      <c r="T13" s="2">
        <f t="shared" si="11"/>
        <v>3.8799999999999998E-3</v>
      </c>
      <c r="U13" s="2">
        <f>_xlfn.STDEV.P(K22:K23)</f>
        <v>0.17299000000000012</v>
      </c>
      <c r="V13" s="2">
        <f>_xlfn.STDEV.P(L22:L23)</f>
        <v>2.7600000000000003E-3</v>
      </c>
    </row>
    <row r="14" spans="1:22" x14ac:dyDescent="0.15">
      <c r="A14" s="4" t="s">
        <v>32</v>
      </c>
      <c r="B14" s="5" t="s">
        <v>110</v>
      </c>
      <c r="C14" s="5">
        <v>1</v>
      </c>
      <c r="D14" s="5" t="s">
        <v>85</v>
      </c>
      <c r="E14" s="5">
        <v>2</v>
      </c>
      <c r="F14" s="5" t="s">
        <v>87</v>
      </c>
      <c r="G14" s="6">
        <v>0.36299999999999999</v>
      </c>
      <c r="H14" s="6">
        <v>0.63100000000000001</v>
      </c>
      <c r="I14" s="6">
        <v>2.8999999999999998E-3</v>
      </c>
      <c r="J14" s="6">
        <v>3.2000000000000002E-3</v>
      </c>
      <c r="K14" s="2">
        <f t="shared" si="1"/>
        <v>0.63390000000000002</v>
      </c>
      <c r="L14" s="2">
        <f t="shared" si="1"/>
        <v>6.0999999999999995E-3</v>
      </c>
      <c r="N14" s="1" t="s">
        <v>87</v>
      </c>
      <c r="O14" s="2">
        <f t="shared" ref="O14:T14" si="12">AVERAGE(G24:G25)</f>
        <v>0.13</v>
      </c>
      <c r="P14" s="2">
        <f t="shared" si="12"/>
        <v>0.86549999999999994</v>
      </c>
      <c r="Q14" s="2">
        <f t="shared" si="12"/>
        <v>3.8000000000000004E-3</v>
      </c>
      <c r="R14" s="2">
        <f t="shared" si="12"/>
        <v>7.9000000000000001E-4</v>
      </c>
      <c r="S14" s="2">
        <f t="shared" si="12"/>
        <v>0.86929999999999996</v>
      </c>
      <c r="T14" s="2">
        <f t="shared" si="12"/>
        <v>4.5900000000000003E-3</v>
      </c>
      <c r="U14" s="2">
        <f>_xlfn.STDEV.P(K24:K25)</f>
        <v>2.9800000000000049E-2</v>
      </c>
      <c r="V14" s="2">
        <f>_xlfn.STDEV.P(L24:L25)</f>
        <v>1.39E-3</v>
      </c>
    </row>
    <row r="15" spans="1:22" x14ac:dyDescent="0.15">
      <c r="A15" s="4" t="s">
        <v>33</v>
      </c>
      <c r="B15" s="5" t="s">
        <v>110</v>
      </c>
      <c r="C15" s="5">
        <v>2</v>
      </c>
      <c r="D15" s="5" t="s">
        <v>85</v>
      </c>
      <c r="E15" s="5">
        <v>2</v>
      </c>
      <c r="F15" s="5" t="s">
        <v>87</v>
      </c>
      <c r="G15" s="6">
        <v>0.6</v>
      </c>
      <c r="H15" s="6">
        <v>0.39300000000000002</v>
      </c>
      <c r="I15" s="6">
        <v>9.3999999999999997E-4</v>
      </c>
      <c r="J15" s="6">
        <v>6.3E-3</v>
      </c>
      <c r="K15" s="2">
        <f t="shared" si="1"/>
        <v>0.39394000000000001</v>
      </c>
      <c r="L15" s="2">
        <f t="shared" si="1"/>
        <v>7.2399999999999999E-3</v>
      </c>
      <c r="M15" s="1" t="s">
        <v>84</v>
      </c>
      <c r="N15" s="1" t="s">
        <v>83</v>
      </c>
      <c r="O15" s="2">
        <f t="shared" ref="O15:T15" si="13">AVERAGE(G26:G27)</f>
        <v>0.11975</v>
      </c>
      <c r="P15" s="2">
        <f t="shared" si="13"/>
        <v>0.876</v>
      </c>
      <c r="Q15" s="2">
        <f t="shared" si="13"/>
        <v>3.8500000000000001E-3</v>
      </c>
      <c r="R15" s="2">
        <f t="shared" si="13"/>
        <v>8.5500000000000007E-4</v>
      </c>
      <c r="S15" s="2">
        <f t="shared" si="13"/>
        <v>0.87985000000000002</v>
      </c>
      <c r="T15" s="2">
        <f t="shared" si="13"/>
        <v>4.705E-3</v>
      </c>
      <c r="U15" s="2">
        <f>_xlfn.STDEV.P(K26:K27)</f>
        <v>7.2049999999999947E-2</v>
      </c>
      <c r="V15" s="2">
        <f>_xlfn.STDEV.P(L26:L27)</f>
        <v>3.1050000000000006E-3</v>
      </c>
    </row>
    <row r="16" spans="1:22" x14ac:dyDescent="0.15">
      <c r="A16" s="4" t="s">
        <v>20</v>
      </c>
      <c r="B16" s="5" t="s">
        <v>110</v>
      </c>
      <c r="C16" s="5">
        <v>1</v>
      </c>
      <c r="D16" s="5" t="s">
        <v>86</v>
      </c>
      <c r="E16" s="5">
        <v>3</v>
      </c>
      <c r="F16" s="5" t="s">
        <v>83</v>
      </c>
      <c r="G16" s="6">
        <v>0.114</v>
      </c>
      <c r="H16" s="6">
        <v>0.879</v>
      </c>
      <c r="I16" s="6">
        <v>6.4000000000000003E-3</v>
      </c>
      <c r="J16" s="6">
        <v>1.1999999999999999E-3</v>
      </c>
      <c r="K16" s="2">
        <f t="shared" si="1"/>
        <v>0.88539999999999996</v>
      </c>
      <c r="L16" s="2">
        <f t="shared" si="1"/>
        <v>7.6E-3</v>
      </c>
      <c r="N16" s="1" t="s">
        <v>87</v>
      </c>
      <c r="O16" s="2">
        <f t="shared" ref="O16:T16" si="14">AVERAGE(G28:G29)</f>
        <v>7.6749999999999999E-2</v>
      </c>
      <c r="P16" s="2">
        <f t="shared" si="14"/>
        <v>0.9205000000000001</v>
      </c>
      <c r="Q16" s="2">
        <f t="shared" si="14"/>
        <v>2.3500000000000001E-3</v>
      </c>
      <c r="R16" s="2">
        <f t="shared" si="14"/>
        <v>3.9999999999999996E-4</v>
      </c>
      <c r="S16" s="2">
        <f t="shared" si="14"/>
        <v>0.92285000000000006</v>
      </c>
      <c r="T16" s="2">
        <f t="shared" si="14"/>
        <v>2.7499999999999998E-3</v>
      </c>
      <c r="U16" s="2">
        <f>_xlfn.STDEV.P(K28:K29)</f>
        <v>9.2499999999999805E-3</v>
      </c>
      <c r="V16" s="2">
        <f>_xlfn.STDEV.P(L28:L29)</f>
        <v>6.9999999999999988E-4</v>
      </c>
    </row>
    <row r="17" spans="1:22" x14ac:dyDescent="0.15">
      <c r="A17" s="4" t="s">
        <v>21</v>
      </c>
      <c r="B17" s="5" t="s">
        <v>110</v>
      </c>
      <c r="C17" s="5">
        <v>2</v>
      </c>
      <c r="D17" s="5" t="s">
        <v>86</v>
      </c>
      <c r="E17" s="5">
        <v>3</v>
      </c>
      <c r="F17" s="5" t="s">
        <v>83</v>
      </c>
      <c r="G17" s="6">
        <v>0.58299999999999996</v>
      </c>
      <c r="H17" s="6">
        <v>0.41399999999999998</v>
      </c>
      <c r="I17" s="6">
        <v>4.6000000000000001E-4</v>
      </c>
      <c r="J17" s="6">
        <v>2.2000000000000001E-3</v>
      </c>
      <c r="K17" s="2">
        <f t="shared" si="1"/>
        <v>0.41446</v>
      </c>
      <c r="L17" s="2">
        <f t="shared" si="1"/>
        <v>2.66E-3</v>
      </c>
      <c r="M17" s="1" t="s">
        <v>85</v>
      </c>
      <c r="N17" s="1" t="s">
        <v>83</v>
      </c>
      <c r="O17" s="2">
        <f t="shared" ref="O17:T17" si="15">AVERAGE(G30:G31)</f>
        <v>0.36050000000000004</v>
      </c>
      <c r="P17" s="2">
        <f t="shared" si="15"/>
        <v>0.63500000000000001</v>
      </c>
      <c r="Q17" s="2">
        <f t="shared" si="15"/>
        <v>3.2300000000000002E-3</v>
      </c>
      <c r="R17" s="2">
        <f t="shared" si="15"/>
        <v>1.57E-3</v>
      </c>
      <c r="S17" s="2">
        <f t="shared" si="15"/>
        <v>0.63822999999999996</v>
      </c>
      <c r="T17" s="2">
        <f t="shared" si="15"/>
        <v>4.8000000000000004E-3</v>
      </c>
      <c r="U17" s="2">
        <f>_xlfn.STDEV.P(K30:K31)</f>
        <v>0.1988700000000001</v>
      </c>
      <c r="V17" s="2">
        <f>_xlfn.STDEV.P(L30:L31)</f>
        <v>3.6000000000000008E-3</v>
      </c>
    </row>
    <row r="18" spans="1:22" x14ac:dyDescent="0.15">
      <c r="A18" s="4" t="s">
        <v>36</v>
      </c>
      <c r="B18" s="5" t="s">
        <v>110</v>
      </c>
      <c r="C18" s="5">
        <v>1</v>
      </c>
      <c r="D18" s="5" t="s">
        <v>86</v>
      </c>
      <c r="E18" s="5">
        <v>3</v>
      </c>
      <c r="F18" s="5" t="s">
        <v>87</v>
      </c>
      <c r="G18" s="6">
        <v>0.35099999999999998</v>
      </c>
      <c r="H18" s="6">
        <v>0.63600000000000001</v>
      </c>
      <c r="I18" s="6">
        <v>8.3000000000000001E-3</v>
      </c>
      <c r="J18" s="6">
        <v>4.7999999999999996E-3</v>
      </c>
      <c r="K18" s="2">
        <f t="shared" si="1"/>
        <v>0.64429999999999998</v>
      </c>
      <c r="L18" s="2">
        <f t="shared" si="1"/>
        <v>1.3100000000000001E-2</v>
      </c>
      <c r="N18" s="1" t="s">
        <v>87</v>
      </c>
      <c r="O18" s="2">
        <f t="shared" ref="O18:T18" si="16">AVERAGE(G32:G33)</f>
        <v>0.60149999999999992</v>
      </c>
      <c r="P18" s="2">
        <f t="shared" si="16"/>
        <v>0.39300000000000002</v>
      </c>
      <c r="Q18" s="2">
        <f t="shared" si="16"/>
        <v>1.4E-3</v>
      </c>
      <c r="R18" s="2">
        <f t="shared" si="16"/>
        <v>3.65E-3</v>
      </c>
      <c r="S18" s="2">
        <f t="shared" si="16"/>
        <v>0.39439999999999997</v>
      </c>
      <c r="T18" s="2">
        <f t="shared" si="16"/>
        <v>5.0500000000000007E-3</v>
      </c>
      <c r="U18" s="2">
        <f>_xlfn.STDEV.P(K32:K33)</f>
        <v>3.9900000000000407E-2</v>
      </c>
      <c r="V18" s="2">
        <f>_xlfn.STDEV.P(L32:L33)</f>
        <v>2.0500000000000002E-3</v>
      </c>
    </row>
    <row r="19" spans="1:22" x14ac:dyDescent="0.15">
      <c r="A19" s="4" t="s">
        <v>37</v>
      </c>
      <c r="B19" s="5" t="s">
        <v>110</v>
      </c>
      <c r="C19" s="5">
        <v>2</v>
      </c>
      <c r="D19" s="5" t="s">
        <v>86</v>
      </c>
      <c r="E19" s="5">
        <v>3</v>
      </c>
      <c r="F19" s="5" t="s">
        <v>87</v>
      </c>
      <c r="G19" s="6">
        <v>0.44400000000000001</v>
      </c>
      <c r="H19" s="6">
        <v>0.53800000000000003</v>
      </c>
      <c r="I19" s="6">
        <v>8.3000000000000001E-3</v>
      </c>
      <c r="J19" s="6">
        <v>0.01</v>
      </c>
      <c r="K19" s="2">
        <f t="shared" si="1"/>
        <v>0.54630000000000001</v>
      </c>
      <c r="L19" s="2">
        <f t="shared" si="1"/>
        <v>1.83E-2</v>
      </c>
      <c r="M19" s="1" t="s">
        <v>86</v>
      </c>
      <c r="N19" s="1" t="s">
        <v>83</v>
      </c>
      <c r="O19" s="2">
        <f>AVERAGE(G35:G36)</f>
        <v>0.55800000000000005</v>
      </c>
      <c r="P19" s="2">
        <f t="shared" ref="P19:R20" si="17">AVERAGE(H35:H36)</f>
        <v>0.43799999999999994</v>
      </c>
      <c r="Q19" s="2">
        <f t="shared" si="17"/>
        <v>1.5449999999999999E-3</v>
      </c>
      <c r="R19" s="2">
        <f t="shared" si="17"/>
        <v>2.2500000000000003E-3</v>
      </c>
      <c r="S19" s="2">
        <f>AVERAGE(K35:K36)</f>
        <v>0.43954499999999996</v>
      </c>
      <c r="T19" s="2">
        <f>AVERAGE(L35:L36)</f>
        <v>3.7949999999999998E-3</v>
      </c>
      <c r="U19" s="2">
        <f>_xlfn.STDEV.P(K34:K35)</f>
        <v>0.1462050000000002</v>
      </c>
      <c r="V19" s="2">
        <f>_xlfn.STDEV.P(L34:L35)</f>
        <v>5.2050000000000013E-3</v>
      </c>
    </row>
    <row r="20" spans="1:22" x14ac:dyDescent="0.15">
      <c r="A20" t="s">
        <v>6</v>
      </c>
      <c r="B20" s="1" t="s">
        <v>111</v>
      </c>
      <c r="C20" s="1">
        <v>1</v>
      </c>
      <c r="D20" s="1" t="s">
        <v>80</v>
      </c>
      <c r="E20" s="1">
        <v>0</v>
      </c>
      <c r="F20" s="1" t="s">
        <v>82</v>
      </c>
      <c r="G20" s="2">
        <v>0.86699999999999999</v>
      </c>
      <c r="H20" s="2">
        <v>0.13200000000000001</v>
      </c>
      <c r="I20" s="2">
        <v>1.1E-4</v>
      </c>
      <c r="J20" s="2">
        <v>1.1000000000000001E-3</v>
      </c>
      <c r="K20" s="2">
        <f t="shared" si="1"/>
        <v>0.13211000000000001</v>
      </c>
      <c r="L20" s="2">
        <f t="shared" si="1"/>
        <v>1.2100000000000001E-3</v>
      </c>
      <c r="N20" s="1" t="s">
        <v>87</v>
      </c>
      <c r="O20" s="2">
        <f>AVERAGE(G36:G37)</f>
        <v>0.69199999999999995</v>
      </c>
      <c r="P20" s="2">
        <f t="shared" si="17"/>
        <v>0.30149999999999999</v>
      </c>
      <c r="Q20" s="2">
        <f t="shared" si="17"/>
        <v>2.3E-3</v>
      </c>
      <c r="R20" s="2">
        <f t="shared" si="17"/>
        <v>4.0000000000000001E-3</v>
      </c>
      <c r="S20" s="2">
        <f>AVERAGE(K36:K37)</f>
        <v>0.30380000000000001</v>
      </c>
      <c r="T20" s="2">
        <f>AVERAGE(L36:L37)</f>
        <v>6.3E-3</v>
      </c>
      <c r="U20" s="2">
        <f>_xlfn.STDEV.P(K36:K37)</f>
        <v>1.0500000000000009E-2</v>
      </c>
      <c r="V20" s="2">
        <f>_xlfn.STDEV.P(L36:L37)</f>
        <v>5.0000000000000001E-4</v>
      </c>
    </row>
    <row r="21" spans="1:22" x14ac:dyDescent="0.15">
      <c r="A21" t="s">
        <v>7</v>
      </c>
      <c r="B21" s="1" t="s">
        <v>111</v>
      </c>
      <c r="C21" s="1">
        <v>2</v>
      </c>
      <c r="D21" s="1" t="s">
        <v>80</v>
      </c>
      <c r="E21" s="1">
        <v>0</v>
      </c>
      <c r="F21" s="1" t="s">
        <v>82</v>
      </c>
      <c r="G21" s="2">
        <v>0.83699999999999997</v>
      </c>
      <c r="H21" s="2">
        <v>0.16200000000000001</v>
      </c>
      <c r="I21" s="2">
        <v>3.3E-4</v>
      </c>
      <c r="J21" s="2">
        <v>8.8000000000000003E-4</v>
      </c>
      <c r="K21" s="2">
        <f t="shared" si="1"/>
        <v>0.16233</v>
      </c>
      <c r="L21" s="2">
        <f t="shared" si="1"/>
        <v>1.2100000000000001E-3</v>
      </c>
    </row>
    <row r="22" spans="1:22" x14ac:dyDescent="0.15">
      <c r="A22" t="s">
        <v>10</v>
      </c>
      <c r="B22" s="1" t="s">
        <v>111</v>
      </c>
      <c r="C22" s="1">
        <v>1</v>
      </c>
      <c r="D22" s="1" t="s">
        <v>80</v>
      </c>
      <c r="E22" s="1">
        <v>0</v>
      </c>
      <c r="F22" s="1" t="s">
        <v>83</v>
      </c>
      <c r="G22" s="2">
        <v>3.4599999999999999E-2</v>
      </c>
      <c r="H22" s="2">
        <v>0.95899999999999996</v>
      </c>
      <c r="I22" s="2">
        <v>6.1999999999999998E-3</v>
      </c>
      <c r="J22" s="2">
        <v>4.4000000000000002E-4</v>
      </c>
      <c r="K22" s="2">
        <f t="shared" si="1"/>
        <v>0.96519999999999995</v>
      </c>
      <c r="L22" s="2">
        <f t="shared" si="1"/>
        <v>6.6400000000000001E-3</v>
      </c>
    </row>
    <row r="23" spans="1:22" x14ac:dyDescent="0.15">
      <c r="A23" t="s">
        <v>11</v>
      </c>
      <c r="B23" s="1" t="s">
        <v>111</v>
      </c>
      <c r="C23" s="1">
        <v>2</v>
      </c>
      <c r="D23" s="1" t="s">
        <v>80</v>
      </c>
      <c r="E23" s="1">
        <v>0</v>
      </c>
      <c r="F23" s="1" t="s">
        <v>83</v>
      </c>
      <c r="G23" s="2">
        <v>0.38</v>
      </c>
      <c r="H23" s="2">
        <v>0.61899999999999999</v>
      </c>
      <c r="I23" s="2">
        <v>2.2000000000000001E-4</v>
      </c>
      <c r="J23" s="2">
        <v>8.9999999999999998E-4</v>
      </c>
      <c r="K23" s="2">
        <f t="shared" si="1"/>
        <v>0.61921999999999999</v>
      </c>
      <c r="L23" s="2">
        <f t="shared" si="1"/>
        <v>1.1199999999999999E-3</v>
      </c>
    </row>
    <row r="24" spans="1:22" x14ac:dyDescent="0.15">
      <c r="A24" t="s">
        <v>26</v>
      </c>
      <c r="B24" s="1" t="s">
        <v>111</v>
      </c>
      <c r="C24" s="1">
        <v>1</v>
      </c>
      <c r="D24" s="1" t="s">
        <v>80</v>
      </c>
      <c r="E24" s="1">
        <v>0</v>
      </c>
      <c r="F24" s="1" t="s">
        <v>87</v>
      </c>
      <c r="G24" s="2">
        <v>0.1</v>
      </c>
      <c r="H24" s="2">
        <v>0.89400000000000002</v>
      </c>
      <c r="I24" s="2">
        <v>5.1000000000000004E-3</v>
      </c>
      <c r="J24" s="2">
        <v>8.8000000000000003E-4</v>
      </c>
      <c r="K24" s="2">
        <f t="shared" si="1"/>
        <v>0.89910000000000001</v>
      </c>
      <c r="L24" s="2">
        <f t="shared" si="1"/>
        <v>5.9800000000000001E-3</v>
      </c>
    </row>
    <row r="25" spans="1:22" x14ac:dyDescent="0.15">
      <c r="A25" t="s">
        <v>27</v>
      </c>
      <c r="B25" s="1" t="s">
        <v>111</v>
      </c>
      <c r="C25" s="1">
        <v>2</v>
      </c>
      <c r="D25" s="1" t="s">
        <v>80</v>
      </c>
      <c r="E25" s="1">
        <v>0</v>
      </c>
      <c r="F25" s="1" t="s">
        <v>87</v>
      </c>
      <c r="G25" s="2">
        <v>0.16</v>
      </c>
      <c r="H25" s="2">
        <v>0.83699999999999997</v>
      </c>
      <c r="I25" s="2">
        <v>2.5000000000000001E-3</v>
      </c>
      <c r="J25" s="2">
        <v>6.9999999999999999E-4</v>
      </c>
      <c r="K25" s="2">
        <f t="shared" si="1"/>
        <v>0.83949999999999991</v>
      </c>
      <c r="L25" s="2">
        <f t="shared" si="1"/>
        <v>3.2000000000000002E-3</v>
      </c>
    </row>
    <row r="26" spans="1:22" x14ac:dyDescent="0.15">
      <c r="A26" t="s">
        <v>14</v>
      </c>
      <c r="B26" s="1" t="s">
        <v>111</v>
      </c>
      <c r="C26" s="1">
        <v>1</v>
      </c>
      <c r="D26" s="1" t="s">
        <v>84</v>
      </c>
      <c r="E26" s="1">
        <v>1</v>
      </c>
      <c r="F26" s="1" t="s">
        <v>83</v>
      </c>
      <c r="G26" s="2">
        <v>0.192</v>
      </c>
      <c r="H26" s="2">
        <v>0.80700000000000005</v>
      </c>
      <c r="I26" s="2">
        <v>8.0000000000000004E-4</v>
      </c>
      <c r="J26" s="2">
        <v>8.0000000000000004E-4</v>
      </c>
      <c r="K26" s="2">
        <f t="shared" si="1"/>
        <v>0.80780000000000007</v>
      </c>
      <c r="L26" s="2">
        <f t="shared" si="1"/>
        <v>1.6000000000000001E-3</v>
      </c>
    </row>
    <row r="27" spans="1:22" x14ac:dyDescent="0.15">
      <c r="A27" t="s">
        <v>15</v>
      </c>
      <c r="B27" s="1" t="s">
        <v>111</v>
      </c>
      <c r="C27" s="1">
        <v>2</v>
      </c>
      <c r="D27" s="1" t="s">
        <v>84</v>
      </c>
      <c r="E27" s="1">
        <v>1</v>
      </c>
      <c r="F27" s="1" t="s">
        <v>83</v>
      </c>
      <c r="G27" s="2">
        <v>4.7500000000000001E-2</v>
      </c>
      <c r="H27" s="2">
        <v>0.94499999999999995</v>
      </c>
      <c r="I27" s="2">
        <v>6.8999999999999999E-3</v>
      </c>
      <c r="J27" s="2">
        <v>9.1E-4</v>
      </c>
      <c r="K27" s="2">
        <f t="shared" si="1"/>
        <v>0.95189999999999997</v>
      </c>
      <c r="L27" s="2">
        <f t="shared" si="1"/>
        <v>7.8100000000000001E-3</v>
      </c>
    </row>
    <row r="28" spans="1:22" x14ac:dyDescent="0.15">
      <c r="A28" t="s">
        <v>30</v>
      </c>
      <c r="B28" s="1" t="s">
        <v>111</v>
      </c>
      <c r="C28" s="1">
        <v>1</v>
      </c>
      <c r="D28" s="1" t="s">
        <v>84</v>
      </c>
      <c r="E28" s="1">
        <v>1</v>
      </c>
      <c r="F28" s="1" t="s">
        <v>87</v>
      </c>
      <c r="G28" s="2">
        <v>6.7199999999999996E-2</v>
      </c>
      <c r="H28" s="2">
        <v>0.92900000000000005</v>
      </c>
      <c r="I28" s="2">
        <v>3.0999999999999999E-3</v>
      </c>
      <c r="J28" s="2">
        <v>3.5E-4</v>
      </c>
      <c r="K28" s="2">
        <f t="shared" si="1"/>
        <v>0.93210000000000004</v>
      </c>
      <c r="L28" s="2">
        <f t="shared" si="1"/>
        <v>3.4499999999999999E-3</v>
      </c>
    </row>
    <row r="29" spans="1:22" x14ac:dyDescent="0.15">
      <c r="A29" t="s">
        <v>31</v>
      </c>
      <c r="B29" s="1" t="s">
        <v>111</v>
      </c>
      <c r="C29" s="1">
        <v>2</v>
      </c>
      <c r="D29" s="1" t="s">
        <v>84</v>
      </c>
      <c r="E29" s="1">
        <v>1</v>
      </c>
      <c r="F29" s="1" t="s">
        <v>87</v>
      </c>
      <c r="G29" s="2">
        <v>8.6300000000000002E-2</v>
      </c>
      <c r="H29" s="2">
        <v>0.91200000000000003</v>
      </c>
      <c r="I29" s="2">
        <v>1.6000000000000001E-3</v>
      </c>
      <c r="J29" s="2">
        <v>4.4999999999999999E-4</v>
      </c>
      <c r="K29" s="2">
        <f t="shared" si="1"/>
        <v>0.91360000000000008</v>
      </c>
      <c r="L29" s="2">
        <f t="shared" si="1"/>
        <v>2.0500000000000002E-3</v>
      </c>
    </row>
    <row r="30" spans="1:22" x14ac:dyDescent="0.15">
      <c r="A30" t="s">
        <v>18</v>
      </c>
      <c r="B30" s="1" t="s">
        <v>111</v>
      </c>
      <c r="C30" s="1">
        <v>1</v>
      </c>
      <c r="D30" s="1" t="s">
        <v>85</v>
      </c>
      <c r="E30" s="1">
        <v>2</v>
      </c>
      <c r="F30" s="1" t="s">
        <v>83</v>
      </c>
      <c r="G30" s="2">
        <v>0.161</v>
      </c>
      <c r="H30" s="2">
        <v>0.83099999999999996</v>
      </c>
      <c r="I30" s="2">
        <v>6.1000000000000004E-3</v>
      </c>
      <c r="J30" s="2">
        <v>2.3E-3</v>
      </c>
      <c r="K30" s="2">
        <f t="shared" si="1"/>
        <v>0.83709999999999996</v>
      </c>
      <c r="L30" s="2">
        <f t="shared" si="1"/>
        <v>8.4000000000000012E-3</v>
      </c>
    </row>
    <row r="31" spans="1:22" x14ac:dyDescent="0.15">
      <c r="A31" t="s">
        <v>19</v>
      </c>
      <c r="B31" s="1" t="s">
        <v>111</v>
      </c>
      <c r="C31" s="1">
        <v>2</v>
      </c>
      <c r="D31" s="1" t="s">
        <v>85</v>
      </c>
      <c r="E31" s="1">
        <v>2</v>
      </c>
      <c r="F31" s="1" t="s">
        <v>83</v>
      </c>
      <c r="G31" s="2">
        <v>0.56000000000000005</v>
      </c>
      <c r="H31" s="2">
        <v>0.439</v>
      </c>
      <c r="I31" s="2">
        <v>3.6000000000000002E-4</v>
      </c>
      <c r="J31" s="2">
        <v>8.4000000000000003E-4</v>
      </c>
      <c r="K31" s="2">
        <f t="shared" si="1"/>
        <v>0.43936000000000003</v>
      </c>
      <c r="L31" s="2">
        <f t="shared" si="1"/>
        <v>1.2000000000000001E-3</v>
      </c>
    </row>
    <row r="32" spans="1:22" x14ac:dyDescent="0.15">
      <c r="A32" t="s">
        <v>34</v>
      </c>
      <c r="B32" s="1" t="s">
        <v>111</v>
      </c>
      <c r="C32" s="1">
        <v>1</v>
      </c>
      <c r="D32" s="1" t="s">
        <v>85</v>
      </c>
      <c r="E32" s="1">
        <v>2</v>
      </c>
      <c r="F32" s="1" t="s">
        <v>87</v>
      </c>
      <c r="G32" s="2">
        <v>0.56399999999999995</v>
      </c>
      <c r="H32" s="2">
        <v>0.433</v>
      </c>
      <c r="I32" s="2">
        <v>1.2999999999999999E-3</v>
      </c>
      <c r="J32" s="2">
        <v>1.6999999999999999E-3</v>
      </c>
      <c r="K32" s="2">
        <f t="shared" si="1"/>
        <v>0.43430000000000002</v>
      </c>
      <c r="L32" s="2">
        <f t="shared" si="1"/>
        <v>3.0000000000000001E-3</v>
      </c>
    </row>
    <row r="33" spans="1:12" x14ac:dyDescent="0.15">
      <c r="A33" t="s">
        <v>35</v>
      </c>
      <c r="B33" s="1" t="s">
        <v>111</v>
      </c>
      <c r="C33" s="1">
        <v>2</v>
      </c>
      <c r="D33" s="1" t="s">
        <v>85</v>
      </c>
      <c r="E33" s="1">
        <v>2</v>
      </c>
      <c r="F33" s="1" t="s">
        <v>87</v>
      </c>
      <c r="G33" s="2">
        <v>0.63900000000000001</v>
      </c>
      <c r="H33" s="2">
        <v>0.35299999999999998</v>
      </c>
      <c r="I33" s="2">
        <v>1.5E-3</v>
      </c>
      <c r="J33" s="2">
        <v>5.5999999999999999E-3</v>
      </c>
      <c r="K33" s="2">
        <f t="shared" si="1"/>
        <v>0.35449999999999998</v>
      </c>
      <c r="L33" s="2">
        <f t="shared" si="1"/>
        <v>7.1000000000000004E-3</v>
      </c>
    </row>
    <row r="34" spans="1:12" x14ac:dyDescent="0.15">
      <c r="A34" t="s">
        <v>22</v>
      </c>
      <c r="B34" s="1" t="s">
        <v>111</v>
      </c>
      <c r="C34" s="1">
        <v>1</v>
      </c>
      <c r="D34" s="1" t="s">
        <v>86</v>
      </c>
      <c r="E34" s="1">
        <v>3</v>
      </c>
      <c r="F34" s="1" t="s">
        <v>83</v>
      </c>
      <c r="G34" s="2">
        <v>0.14099999999999999</v>
      </c>
      <c r="H34" s="2">
        <v>0.84699999999999998</v>
      </c>
      <c r="I34" s="2">
        <v>1.0200000000000001E-2</v>
      </c>
      <c r="J34" s="2">
        <v>2E-3</v>
      </c>
      <c r="K34" s="2">
        <f t="shared" si="1"/>
        <v>0.85719999999999996</v>
      </c>
      <c r="L34" s="2">
        <f t="shared" si="1"/>
        <v>1.2200000000000001E-2</v>
      </c>
    </row>
    <row r="35" spans="1:12" x14ac:dyDescent="0.15">
      <c r="A35" t="s">
        <v>23</v>
      </c>
      <c r="B35" s="1" t="s">
        <v>111</v>
      </c>
      <c r="C35" s="1">
        <v>2</v>
      </c>
      <c r="D35" s="1" t="s">
        <v>86</v>
      </c>
      <c r="E35" s="1">
        <v>3</v>
      </c>
      <c r="F35" s="1" t="s">
        <v>83</v>
      </c>
      <c r="G35" s="2">
        <v>0.434</v>
      </c>
      <c r="H35" s="2">
        <v>0.56399999999999995</v>
      </c>
      <c r="I35" s="2">
        <v>7.9000000000000001E-4</v>
      </c>
      <c r="J35" s="2">
        <v>1E-3</v>
      </c>
      <c r="K35" s="2">
        <f t="shared" si="1"/>
        <v>0.5647899999999999</v>
      </c>
      <c r="L35" s="2">
        <f t="shared" si="1"/>
        <v>1.7899999999999999E-3</v>
      </c>
    </row>
    <row r="36" spans="1:12" x14ac:dyDescent="0.15">
      <c r="A36" t="s">
        <v>38</v>
      </c>
      <c r="B36" s="1" t="s">
        <v>111</v>
      </c>
      <c r="C36" s="1">
        <v>1</v>
      </c>
      <c r="D36" s="1" t="s">
        <v>86</v>
      </c>
      <c r="E36" s="1">
        <v>3</v>
      </c>
      <c r="F36" s="1" t="s">
        <v>87</v>
      </c>
      <c r="G36" s="2">
        <v>0.68200000000000005</v>
      </c>
      <c r="H36" s="2">
        <v>0.312</v>
      </c>
      <c r="I36" s="2">
        <v>2.3E-3</v>
      </c>
      <c r="J36" s="2">
        <v>3.5000000000000001E-3</v>
      </c>
      <c r="K36" s="2">
        <f t="shared" si="1"/>
        <v>0.31430000000000002</v>
      </c>
      <c r="L36" s="2">
        <f t="shared" si="1"/>
        <v>5.7999999999999996E-3</v>
      </c>
    </row>
    <row r="37" spans="1:12" x14ac:dyDescent="0.15">
      <c r="A37" t="s">
        <v>39</v>
      </c>
      <c r="B37" s="1" t="s">
        <v>111</v>
      </c>
      <c r="C37" s="1">
        <v>2</v>
      </c>
      <c r="D37" s="1" t="s">
        <v>86</v>
      </c>
      <c r="E37" s="1">
        <v>3</v>
      </c>
      <c r="F37" s="1" t="s">
        <v>87</v>
      </c>
      <c r="G37" s="2">
        <v>0.70199999999999996</v>
      </c>
      <c r="H37" s="2">
        <v>0.29099999999999998</v>
      </c>
      <c r="I37" s="2">
        <v>2.3E-3</v>
      </c>
      <c r="J37" s="2">
        <v>4.4999999999999997E-3</v>
      </c>
      <c r="K37" s="2">
        <f t="shared" si="1"/>
        <v>0.29330000000000001</v>
      </c>
      <c r="L37" s="2">
        <f t="shared" si="1"/>
        <v>6.7999999999999996E-3</v>
      </c>
    </row>
  </sheetData>
  <mergeCells count="4">
    <mergeCell ref="M2:M4"/>
    <mergeCell ref="M5:M6"/>
    <mergeCell ref="M7:M8"/>
    <mergeCell ref="M9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5990-5B54-A84B-B670-784374FAC974}">
  <dimension ref="A1:W37"/>
  <sheetViews>
    <sheetView zoomScale="90" zoomScaleNormal="90" workbookViewId="0">
      <selection activeCell="M37" sqref="L2:M37"/>
    </sheetView>
  </sheetViews>
  <sheetFormatPr baseColWidth="10" defaultRowHeight="13" x14ac:dyDescent="0.15"/>
  <sheetData>
    <row r="1" spans="1:23" x14ac:dyDescent="0.15">
      <c r="C1" s="1" t="s">
        <v>76</v>
      </c>
      <c r="D1" s="1" t="s">
        <v>88</v>
      </c>
      <c r="E1" s="1" t="s">
        <v>77</v>
      </c>
      <c r="F1" s="1" t="s">
        <v>89</v>
      </c>
      <c r="G1" s="1" t="s">
        <v>81</v>
      </c>
      <c r="H1" t="s">
        <v>0</v>
      </c>
      <c r="I1" t="s">
        <v>1</v>
      </c>
      <c r="J1" t="s">
        <v>2</v>
      </c>
      <c r="K1" t="s">
        <v>3</v>
      </c>
      <c r="L1" s="1" t="s">
        <v>90</v>
      </c>
      <c r="M1" s="1" t="s">
        <v>91</v>
      </c>
      <c r="O1" s="1" t="s">
        <v>92</v>
      </c>
      <c r="P1" t="s">
        <v>0</v>
      </c>
      <c r="Q1" t="s">
        <v>1</v>
      </c>
      <c r="R1" t="s">
        <v>2</v>
      </c>
      <c r="S1" t="s">
        <v>3</v>
      </c>
      <c r="T1" s="1" t="s">
        <v>90</v>
      </c>
      <c r="U1" s="1" t="s">
        <v>91</v>
      </c>
      <c r="V1" s="1" t="s">
        <v>94</v>
      </c>
      <c r="W1" s="1" t="s">
        <v>95</v>
      </c>
    </row>
    <row r="2" spans="1:23" x14ac:dyDescent="0.15">
      <c r="A2" t="s">
        <v>40</v>
      </c>
      <c r="C2" s="1" t="s">
        <v>78</v>
      </c>
      <c r="D2" s="1">
        <v>1</v>
      </c>
      <c r="E2" s="1" t="s">
        <v>80</v>
      </c>
      <c r="F2" s="1">
        <v>0</v>
      </c>
      <c r="G2" s="1" t="s">
        <v>82</v>
      </c>
      <c r="H2" s="2">
        <v>0.77300000000000002</v>
      </c>
      <c r="I2" s="2">
        <v>0.22600000000000001</v>
      </c>
      <c r="J2" s="2">
        <v>1.1E-4</v>
      </c>
      <c r="K2" s="2">
        <v>4.2000000000000002E-4</v>
      </c>
      <c r="L2" s="2">
        <f>SUM(I2:J2)</f>
        <v>0.22611000000000001</v>
      </c>
      <c r="M2" s="2">
        <f>SUM(J2:K2)</f>
        <v>5.2999999999999998E-4</v>
      </c>
      <c r="N2" s="9" t="s">
        <v>80</v>
      </c>
      <c r="O2" s="1" t="s">
        <v>82</v>
      </c>
      <c r="P2" s="2">
        <f t="shared" ref="P2:U2" si="0">AVERAGE(H2:H3)</f>
        <v>0.70750000000000002</v>
      </c>
      <c r="Q2" s="2">
        <f t="shared" si="0"/>
        <v>0.29049999999999998</v>
      </c>
      <c r="R2" s="2">
        <f t="shared" si="0"/>
        <v>6.0500000000000007E-4</v>
      </c>
      <c r="S2" s="2">
        <f t="shared" si="0"/>
        <v>1.06E-3</v>
      </c>
      <c r="T2" s="2">
        <f t="shared" si="0"/>
        <v>0.291105</v>
      </c>
      <c r="U2" s="2">
        <f t="shared" si="0"/>
        <v>1.665E-3</v>
      </c>
      <c r="V2" s="2">
        <f>_xlfn.STDEV.P(L2:L3)</f>
        <v>6.4994999999999928E-2</v>
      </c>
      <c r="W2" s="2">
        <f>_xlfn.STDEV.P(M2:M3)</f>
        <v>1.1349999999999999E-3</v>
      </c>
    </row>
    <row r="3" spans="1:23" x14ac:dyDescent="0.15">
      <c r="A3" t="s">
        <v>41</v>
      </c>
      <c r="C3" s="1" t="s">
        <v>78</v>
      </c>
      <c r="D3" s="1">
        <v>2</v>
      </c>
      <c r="E3" s="1" t="s">
        <v>80</v>
      </c>
      <c r="F3" s="1">
        <v>0</v>
      </c>
      <c r="G3" s="1" t="s">
        <v>82</v>
      </c>
      <c r="H3" s="2">
        <v>0.64200000000000002</v>
      </c>
      <c r="I3" s="2">
        <v>0.35499999999999998</v>
      </c>
      <c r="J3" s="2">
        <v>1.1000000000000001E-3</v>
      </c>
      <c r="K3" s="2">
        <v>1.6999999999999999E-3</v>
      </c>
      <c r="L3" s="2">
        <f t="shared" ref="L3:M37" si="1">SUM(I3:J3)</f>
        <v>0.35609999999999997</v>
      </c>
      <c r="M3" s="2">
        <f t="shared" si="1"/>
        <v>2.8E-3</v>
      </c>
      <c r="N3" s="9"/>
      <c r="O3" s="1" t="s">
        <v>83</v>
      </c>
      <c r="P3" s="2">
        <f t="shared" ref="P3:U3" si="2">AVERAGE(H4:H5)</f>
        <v>0.10715</v>
      </c>
      <c r="Q3" s="2">
        <f t="shared" si="2"/>
        <v>0.89</v>
      </c>
      <c r="R3" s="2">
        <f t="shared" si="2"/>
        <v>1.9650000000000002E-3</v>
      </c>
      <c r="S3" s="2">
        <f t="shared" si="2"/>
        <v>3.4000000000000002E-4</v>
      </c>
      <c r="T3" s="2">
        <f t="shared" si="2"/>
        <v>0.89196500000000001</v>
      </c>
      <c r="U3" s="2">
        <f t="shared" si="2"/>
        <v>2.3050000000000002E-3</v>
      </c>
      <c r="V3" s="2">
        <f>_xlfn.STDEV.P(L4:L5)</f>
        <v>4.2035000000000045E-2</v>
      </c>
      <c r="W3" s="2">
        <f>_xlfn.STDEV.P(M4:M5)</f>
        <v>1.0250000000000001E-3</v>
      </c>
    </row>
    <row r="4" spans="1:23" x14ac:dyDescent="0.15">
      <c r="A4" t="s">
        <v>44</v>
      </c>
      <c r="C4" s="1" t="s">
        <v>78</v>
      </c>
      <c r="D4" s="1">
        <v>1</v>
      </c>
      <c r="E4" s="1" t="s">
        <v>80</v>
      </c>
      <c r="F4" s="1">
        <v>0</v>
      </c>
      <c r="G4" s="1" t="s">
        <v>83</v>
      </c>
      <c r="H4" s="2">
        <v>6.5299999999999997E-2</v>
      </c>
      <c r="I4" s="2">
        <v>0.93100000000000005</v>
      </c>
      <c r="J4" s="2">
        <v>3.0000000000000001E-3</v>
      </c>
      <c r="K4" s="2">
        <v>3.3E-4</v>
      </c>
      <c r="L4" s="2">
        <f t="shared" si="1"/>
        <v>0.93400000000000005</v>
      </c>
      <c r="M4" s="2">
        <f t="shared" si="1"/>
        <v>3.3300000000000001E-3</v>
      </c>
      <c r="N4" s="9"/>
      <c r="O4" s="1" t="s">
        <v>87</v>
      </c>
      <c r="P4" s="2">
        <f t="shared" ref="P4:U4" si="3">AVERAGE(H6:H7)</f>
        <v>0.191</v>
      </c>
      <c r="Q4" s="2">
        <f t="shared" si="3"/>
        <v>0.78649999999999998</v>
      </c>
      <c r="R4" s="2">
        <f t="shared" si="3"/>
        <v>1.975E-2</v>
      </c>
      <c r="S4" s="2">
        <f t="shared" si="3"/>
        <v>3.075E-3</v>
      </c>
      <c r="T4" s="2">
        <f t="shared" si="3"/>
        <v>0.80624999999999991</v>
      </c>
      <c r="U4" s="2">
        <f t="shared" si="3"/>
        <v>2.2825000000000002E-2</v>
      </c>
      <c r="V4" s="2">
        <f>_xlfn.STDEV.P(L6:L7)</f>
        <v>7.5550000000000062E-2</v>
      </c>
      <c r="W4" s="2">
        <f>_xlfn.STDEV.P(M6:M7)</f>
        <v>1.9775000000000004E-2</v>
      </c>
    </row>
    <row r="5" spans="1:23" x14ac:dyDescent="0.15">
      <c r="A5" t="s">
        <v>45</v>
      </c>
      <c r="C5" s="1" t="s">
        <v>78</v>
      </c>
      <c r="D5" s="1">
        <v>2</v>
      </c>
      <c r="E5" s="1" t="s">
        <v>80</v>
      </c>
      <c r="F5" s="1">
        <v>0</v>
      </c>
      <c r="G5" s="1" t="s">
        <v>83</v>
      </c>
      <c r="H5" s="2">
        <v>0.14899999999999999</v>
      </c>
      <c r="I5" s="2">
        <v>0.84899999999999998</v>
      </c>
      <c r="J5" s="2">
        <v>9.3000000000000005E-4</v>
      </c>
      <c r="K5" s="2">
        <v>3.5E-4</v>
      </c>
      <c r="L5" s="2">
        <f t="shared" si="1"/>
        <v>0.84992999999999996</v>
      </c>
      <c r="M5" s="2">
        <f t="shared" si="1"/>
        <v>1.2800000000000001E-3</v>
      </c>
      <c r="N5" s="9" t="s">
        <v>84</v>
      </c>
      <c r="O5" s="1" t="s">
        <v>83</v>
      </c>
      <c r="P5" s="2">
        <f t="shared" ref="P5:U5" si="4">AVERAGE(H8:H9)</f>
        <v>0.1356</v>
      </c>
      <c r="Q5" s="2">
        <f t="shared" si="4"/>
        <v>0.86250000000000004</v>
      </c>
      <c r="R5" s="2">
        <f t="shared" si="4"/>
        <v>1.5E-3</v>
      </c>
      <c r="S5" s="2">
        <f t="shared" si="4"/>
        <v>3.2499999999999999E-4</v>
      </c>
      <c r="T5" s="2">
        <f t="shared" si="4"/>
        <v>0.86399999999999999</v>
      </c>
      <c r="U5" s="2">
        <f t="shared" si="4"/>
        <v>1.825E-3</v>
      </c>
      <c r="V5" s="2">
        <f>_xlfn.STDEV.P(L8:L9)</f>
        <v>7.9299999999999926E-2</v>
      </c>
      <c r="W5" s="2">
        <f>_xlfn.STDEV.P(M8:M9)</f>
        <v>1.1250000000000001E-3</v>
      </c>
    </row>
    <row r="6" spans="1:23" x14ac:dyDescent="0.15">
      <c r="A6" t="s">
        <v>60</v>
      </c>
      <c r="C6" s="1" t="s">
        <v>78</v>
      </c>
      <c r="D6" s="1">
        <v>1</v>
      </c>
      <c r="E6" s="1" t="s">
        <v>80</v>
      </c>
      <c r="F6" s="1">
        <v>0</v>
      </c>
      <c r="G6" s="1" t="s">
        <v>87</v>
      </c>
      <c r="H6" s="2">
        <v>0.11799999999999999</v>
      </c>
      <c r="I6" s="2">
        <v>0.879</v>
      </c>
      <c r="J6" s="2">
        <v>2.8E-3</v>
      </c>
      <c r="K6" s="2">
        <v>2.5000000000000001E-4</v>
      </c>
      <c r="L6" s="2">
        <f t="shared" si="1"/>
        <v>0.88180000000000003</v>
      </c>
      <c r="M6" s="2">
        <f t="shared" si="1"/>
        <v>3.0499999999999998E-3</v>
      </c>
      <c r="N6" s="9"/>
      <c r="O6" s="1" t="s">
        <v>87</v>
      </c>
      <c r="P6" s="2">
        <f t="shared" ref="P6:U6" si="5">AVERAGE(H10:H11)</f>
        <v>0.18480000000000002</v>
      </c>
      <c r="Q6" s="2">
        <f t="shared" si="5"/>
        <v>0.78800000000000003</v>
      </c>
      <c r="R6" s="2">
        <f t="shared" si="5"/>
        <v>2.5704999999999999E-2</v>
      </c>
      <c r="S6" s="2">
        <f t="shared" si="5"/>
        <v>1.5200000000000001E-3</v>
      </c>
      <c r="T6" s="2">
        <f t="shared" si="5"/>
        <v>0.81370500000000001</v>
      </c>
      <c r="U6" s="2">
        <f t="shared" si="5"/>
        <v>2.7224999999999996E-2</v>
      </c>
      <c r="V6" s="2">
        <f>_xlfn.STDEV.P(L10:L11)</f>
        <v>9.0904999999999417E-2</v>
      </c>
      <c r="W6" s="2">
        <f>_xlfn.STDEV.P(M10:M11)</f>
        <v>2.6374999999999999E-2</v>
      </c>
    </row>
    <row r="7" spans="1:23" x14ac:dyDescent="0.15">
      <c r="A7" t="s">
        <v>61</v>
      </c>
      <c r="C7" s="1" t="s">
        <v>78</v>
      </c>
      <c r="D7" s="1">
        <v>2</v>
      </c>
      <c r="E7" s="1" t="s">
        <v>80</v>
      </c>
      <c r="F7" s="1">
        <v>0</v>
      </c>
      <c r="G7" s="1" t="s">
        <v>87</v>
      </c>
      <c r="H7" s="2">
        <v>0.26400000000000001</v>
      </c>
      <c r="I7" s="2">
        <v>0.69399999999999995</v>
      </c>
      <c r="J7" s="2">
        <v>3.6700000000000003E-2</v>
      </c>
      <c r="K7" s="2">
        <v>5.8999999999999999E-3</v>
      </c>
      <c r="L7" s="2">
        <f t="shared" si="1"/>
        <v>0.73069999999999991</v>
      </c>
      <c r="M7" s="2">
        <f t="shared" si="1"/>
        <v>4.2600000000000006E-2</v>
      </c>
      <c r="N7" s="9" t="s">
        <v>85</v>
      </c>
      <c r="O7" s="1" t="s">
        <v>83</v>
      </c>
      <c r="P7" s="2">
        <f t="shared" ref="P7:U7" si="6">AVERAGE(H12:H13)</f>
        <v>0.35549999999999998</v>
      </c>
      <c r="Q7" s="2">
        <f t="shared" si="6"/>
        <v>0.64200000000000002</v>
      </c>
      <c r="R7" s="2">
        <f t="shared" si="6"/>
        <v>1.2999999999999999E-3</v>
      </c>
      <c r="S7" s="2">
        <f t="shared" si="6"/>
        <v>1.4499999999999999E-3</v>
      </c>
      <c r="T7" s="2">
        <f t="shared" si="6"/>
        <v>0.64329999999999998</v>
      </c>
      <c r="U7" s="2">
        <f t="shared" si="6"/>
        <v>2.7500000000000003E-3</v>
      </c>
      <c r="V7" s="2">
        <f>_xlfn.STDEV.P(L12:L13)</f>
        <v>0.13330000000000033</v>
      </c>
      <c r="W7" s="2">
        <f>_xlfn.STDEV.P(M12:M13)</f>
        <v>3.5000000000000005E-4</v>
      </c>
    </row>
    <row r="8" spans="1:23" x14ac:dyDescent="0.15">
      <c r="A8" t="s">
        <v>48</v>
      </c>
      <c r="C8" s="1" t="s">
        <v>78</v>
      </c>
      <c r="D8" s="1">
        <v>1</v>
      </c>
      <c r="E8" s="1" t="s">
        <v>84</v>
      </c>
      <c r="F8" s="1">
        <v>1</v>
      </c>
      <c r="G8" s="1" t="s">
        <v>83</v>
      </c>
      <c r="H8" s="2">
        <v>5.62E-2</v>
      </c>
      <c r="I8" s="2">
        <v>0.94099999999999995</v>
      </c>
      <c r="J8" s="2">
        <v>2.3E-3</v>
      </c>
      <c r="K8" s="2">
        <v>6.4999999999999997E-4</v>
      </c>
      <c r="L8" s="2">
        <f t="shared" si="1"/>
        <v>0.94329999999999992</v>
      </c>
      <c r="M8" s="2">
        <f t="shared" si="1"/>
        <v>2.9499999999999999E-3</v>
      </c>
      <c r="N8" s="9"/>
      <c r="O8" s="1" t="s">
        <v>87</v>
      </c>
      <c r="P8" s="2">
        <f t="shared" ref="P8:U8" si="7">AVERAGE(H14:H15)</f>
        <v>0.622</v>
      </c>
      <c r="Q8" s="2">
        <f t="shared" si="7"/>
        <v>0.374</v>
      </c>
      <c r="R8" s="2">
        <f t="shared" si="7"/>
        <v>8.9999999999999998E-4</v>
      </c>
      <c r="S8" s="2">
        <f t="shared" si="7"/>
        <v>2.4000000000000002E-3</v>
      </c>
      <c r="T8" s="2">
        <f t="shared" si="7"/>
        <v>0.37490000000000001</v>
      </c>
      <c r="U8" s="2">
        <f t="shared" si="7"/>
        <v>3.3E-3</v>
      </c>
      <c r="V8" s="2">
        <f>_xlfn.STDEV.P(L14:L15)</f>
        <v>5.7500000000000093E-2</v>
      </c>
      <c r="W8" s="2">
        <f>_xlfn.STDEV.P(M14:M15)</f>
        <v>2.1000000000000007E-3</v>
      </c>
    </row>
    <row r="9" spans="1:23" x14ac:dyDescent="0.15">
      <c r="A9" t="s">
        <v>49</v>
      </c>
      <c r="C9" s="1" t="s">
        <v>78</v>
      </c>
      <c r="D9" s="1">
        <v>2</v>
      </c>
      <c r="E9" s="1" t="s">
        <v>84</v>
      </c>
      <c r="F9" s="1">
        <v>1</v>
      </c>
      <c r="G9" s="1" t="s">
        <v>83</v>
      </c>
      <c r="H9" s="2">
        <v>0.215</v>
      </c>
      <c r="I9" s="2">
        <v>0.78400000000000003</v>
      </c>
      <c r="J9" s="2">
        <v>6.9999999999999999E-4</v>
      </c>
      <c r="K9" s="3">
        <v>0</v>
      </c>
      <c r="L9" s="2">
        <f t="shared" si="1"/>
        <v>0.78470000000000006</v>
      </c>
      <c r="M9" s="2">
        <f t="shared" si="1"/>
        <v>6.9999999999999999E-4</v>
      </c>
      <c r="N9" s="9" t="s">
        <v>86</v>
      </c>
      <c r="O9" s="1" t="s">
        <v>83</v>
      </c>
      <c r="P9" s="2">
        <f t="shared" ref="P9:U9" si="8">AVERAGE(H16:H17)</f>
        <v>0.28899999999999998</v>
      </c>
      <c r="Q9" s="2">
        <f t="shared" si="8"/>
        <v>0.70849999999999991</v>
      </c>
      <c r="R9" s="2">
        <f t="shared" si="8"/>
        <v>1.1000000000000001E-3</v>
      </c>
      <c r="S9" s="2">
        <f t="shared" si="8"/>
        <v>1.4499999999999999E-3</v>
      </c>
      <c r="T9" s="2">
        <f t="shared" si="8"/>
        <v>0.70960000000000001</v>
      </c>
      <c r="U9" s="2">
        <f t="shared" si="8"/>
        <v>2.5500000000000002E-3</v>
      </c>
      <c r="V9" s="2">
        <f>_xlfn.STDEV.P(L16:L17)</f>
        <v>0.12189999999999963</v>
      </c>
      <c r="W9" s="2">
        <f>_xlfn.STDEV.P(M16:M17)</f>
        <v>7.5000000000000002E-4</v>
      </c>
    </row>
    <row r="10" spans="1:23" x14ac:dyDescent="0.15">
      <c r="A10" t="s">
        <v>64</v>
      </c>
      <c r="C10" s="1" t="s">
        <v>78</v>
      </c>
      <c r="D10" s="1">
        <v>1</v>
      </c>
      <c r="E10" s="1" t="s">
        <v>84</v>
      </c>
      <c r="F10" s="1">
        <v>1</v>
      </c>
      <c r="G10" s="1" t="s">
        <v>87</v>
      </c>
      <c r="H10" s="2">
        <v>9.5600000000000004E-2</v>
      </c>
      <c r="I10" s="2">
        <v>0.90400000000000003</v>
      </c>
      <c r="J10" s="2">
        <v>6.0999999999999997E-4</v>
      </c>
      <c r="K10" s="2">
        <v>2.4000000000000001E-4</v>
      </c>
      <c r="L10" s="2">
        <f t="shared" si="1"/>
        <v>0.90461000000000003</v>
      </c>
      <c r="M10" s="2">
        <f t="shared" si="1"/>
        <v>8.4999999999999995E-4</v>
      </c>
      <c r="N10" s="9"/>
      <c r="O10" s="1" t="s">
        <v>87</v>
      </c>
      <c r="P10" s="2">
        <f t="shared" ref="P10:U10" si="9">AVERAGE(H18:H19)</f>
        <v>0.54400000000000004</v>
      </c>
      <c r="Q10" s="2">
        <f t="shared" si="9"/>
        <v>0.44950000000000001</v>
      </c>
      <c r="R10" s="2">
        <f t="shared" si="9"/>
        <v>2.5500000000000002E-3</v>
      </c>
      <c r="S10" s="2">
        <f t="shared" si="9"/>
        <v>4.1000000000000003E-3</v>
      </c>
      <c r="T10" s="2">
        <f t="shared" si="9"/>
        <v>0.45205000000000001</v>
      </c>
      <c r="U10" s="2">
        <f t="shared" si="9"/>
        <v>6.6500000000000005E-3</v>
      </c>
      <c r="V10" s="2">
        <f>_xlfn.STDEV.P(L18:L19)</f>
        <v>5.2950000000000046E-2</v>
      </c>
      <c r="W10" s="2">
        <f>_xlfn.STDEV.P(M18:M19)</f>
        <v>2.15E-3</v>
      </c>
    </row>
    <row r="11" spans="1:23" x14ac:dyDescent="0.15">
      <c r="A11" t="s">
        <v>65</v>
      </c>
      <c r="C11" s="1" t="s">
        <v>78</v>
      </c>
      <c r="D11" s="1">
        <v>2</v>
      </c>
      <c r="E11" s="1" t="s">
        <v>84</v>
      </c>
      <c r="F11" s="1">
        <v>1</v>
      </c>
      <c r="G11" s="1" t="s">
        <v>87</v>
      </c>
      <c r="H11" s="2">
        <v>0.27400000000000002</v>
      </c>
      <c r="I11" s="2">
        <v>0.67200000000000004</v>
      </c>
      <c r="J11" s="2">
        <v>5.0799999999999998E-2</v>
      </c>
      <c r="K11" s="2">
        <v>2.8E-3</v>
      </c>
      <c r="L11" s="2">
        <f t="shared" si="1"/>
        <v>0.7228</v>
      </c>
      <c r="M11" s="2">
        <f t="shared" si="1"/>
        <v>5.3599999999999995E-2</v>
      </c>
      <c r="O11" s="1" t="s">
        <v>93</v>
      </c>
      <c r="P11" s="2"/>
      <c r="Q11" s="2"/>
      <c r="R11" s="2"/>
      <c r="S11" s="2"/>
      <c r="T11" s="2"/>
      <c r="U11" s="2"/>
      <c r="V11" s="2"/>
      <c r="W11" s="2"/>
    </row>
    <row r="12" spans="1:23" x14ac:dyDescent="0.15">
      <c r="A12" t="s">
        <v>52</v>
      </c>
      <c r="C12" s="1" t="s">
        <v>78</v>
      </c>
      <c r="D12" s="1">
        <v>1</v>
      </c>
      <c r="E12" s="1" t="s">
        <v>85</v>
      </c>
      <c r="F12" s="1">
        <v>2</v>
      </c>
      <c r="G12" s="1" t="s">
        <v>83</v>
      </c>
      <c r="H12" s="2">
        <v>0.222</v>
      </c>
      <c r="I12" s="2">
        <v>0.77500000000000002</v>
      </c>
      <c r="J12" s="2">
        <v>1.6000000000000001E-3</v>
      </c>
      <c r="K12" s="2">
        <v>1.5E-3</v>
      </c>
      <c r="L12" s="2">
        <f t="shared" si="1"/>
        <v>0.77660000000000007</v>
      </c>
      <c r="M12" s="2">
        <f t="shared" si="1"/>
        <v>3.1000000000000003E-3</v>
      </c>
      <c r="N12" s="1" t="s">
        <v>80</v>
      </c>
      <c r="O12" s="1" t="s">
        <v>82</v>
      </c>
      <c r="P12" s="2">
        <f t="shared" ref="P12:U12" si="10">AVERAGE(H20:H21)</f>
        <v>0.75249999999999995</v>
      </c>
      <c r="Q12" s="2">
        <f t="shared" si="10"/>
        <v>0.2465</v>
      </c>
      <c r="R12" s="2">
        <f t="shared" si="10"/>
        <v>2.8499999999999999E-4</v>
      </c>
      <c r="S12" s="2">
        <f t="shared" si="10"/>
        <v>8.5500000000000007E-4</v>
      </c>
      <c r="T12" s="2">
        <f t="shared" si="10"/>
        <v>0.246785</v>
      </c>
      <c r="U12" s="2">
        <f t="shared" si="10"/>
        <v>1.14E-3</v>
      </c>
      <c r="V12" s="2">
        <f>_xlfn.STDEV.P(L20:L21)</f>
        <v>5.0785000000000038E-2</v>
      </c>
      <c r="W12" s="2">
        <f>_xlfn.STDEV.P(M20:M21)</f>
        <v>1.0299999999999999E-3</v>
      </c>
    </row>
    <row r="13" spans="1:23" x14ac:dyDescent="0.15">
      <c r="A13" t="s">
        <v>53</v>
      </c>
      <c r="C13" s="1" t="s">
        <v>78</v>
      </c>
      <c r="D13" s="1">
        <v>2</v>
      </c>
      <c r="E13" s="1" t="s">
        <v>85</v>
      </c>
      <c r="F13" s="1">
        <v>2</v>
      </c>
      <c r="G13" s="1" t="s">
        <v>83</v>
      </c>
      <c r="H13" s="2">
        <v>0.48899999999999999</v>
      </c>
      <c r="I13" s="2">
        <v>0.50900000000000001</v>
      </c>
      <c r="J13" s="2">
        <v>1E-3</v>
      </c>
      <c r="K13" s="2">
        <v>1.4E-3</v>
      </c>
      <c r="L13" s="2">
        <f t="shared" si="1"/>
        <v>0.51</v>
      </c>
      <c r="M13" s="2">
        <f t="shared" si="1"/>
        <v>2.4000000000000002E-3</v>
      </c>
      <c r="O13" s="1" t="s">
        <v>83</v>
      </c>
      <c r="P13" s="2">
        <f t="shared" ref="P13:U13" si="11">AVERAGE(H22:H23)</f>
        <v>0.18</v>
      </c>
      <c r="Q13" s="2">
        <f t="shared" si="11"/>
        <v>0.8145</v>
      </c>
      <c r="R13" s="2">
        <f t="shared" si="11"/>
        <v>3.9449999999999997E-3</v>
      </c>
      <c r="S13" s="2">
        <f t="shared" si="11"/>
        <v>1.4949999999999998E-3</v>
      </c>
      <c r="T13" s="2">
        <f t="shared" si="11"/>
        <v>0.81844499999999998</v>
      </c>
      <c r="U13" s="2">
        <f t="shared" si="11"/>
        <v>5.4400000000000004E-3</v>
      </c>
      <c r="V13" s="2">
        <f>_xlfn.STDEV.P(L22:L23)</f>
        <v>3.3854999999999968E-2</v>
      </c>
      <c r="W13" s="2">
        <f>_xlfn.STDEV.P(M22:M23)</f>
        <v>4.2599999999999999E-3</v>
      </c>
    </row>
    <row r="14" spans="1:23" x14ac:dyDescent="0.15">
      <c r="A14" t="s">
        <v>68</v>
      </c>
      <c r="C14" s="1" t="s">
        <v>78</v>
      </c>
      <c r="D14" s="1">
        <v>1</v>
      </c>
      <c r="E14" s="1" t="s">
        <v>85</v>
      </c>
      <c r="F14" s="1">
        <v>2</v>
      </c>
      <c r="G14" s="1" t="s">
        <v>87</v>
      </c>
      <c r="H14" s="2">
        <v>0.68100000000000005</v>
      </c>
      <c r="I14" s="2">
        <v>0.317</v>
      </c>
      <c r="J14" s="2">
        <v>4.0000000000000002E-4</v>
      </c>
      <c r="K14" s="2">
        <v>8.0000000000000004E-4</v>
      </c>
      <c r="L14" s="2">
        <f t="shared" si="1"/>
        <v>0.31740000000000002</v>
      </c>
      <c r="M14" s="2">
        <f t="shared" si="1"/>
        <v>1.2000000000000001E-3</v>
      </c>
      <c r="O14" s="1" t="s">
        <v>87</v>
      </c>
      <c r="P14" s="2">
        <f t="shared" ref="P14:U14" si="12">AVERAGE(H24:H25)</f>
        <v>0.17649999999999999</v>
      </c>
      <c r="Q14" s="2">
        <f t="shared" si="12"/>
        <v>0.80449999999999999</v>
      </c>
      <c r="R14" s="2">
        <f t="shared" si="12"/>
        <v>1.67E-2</v>
      </c>
      <c r="S14" s="2">
        <f t="shared" si="12"/>
        <v>2.1450000000000002E-3</v>
      </c>
      <c r="T14" s="2">
        <f t="shared" si="12"/>
        <v>0.82120000000000004</v>
      </c>
      <c r="U14" s="2">
        <f t="shared" si="12"/>
        <v>1.8845000000000001E-2</v>
      </c>
      <c r="V14" s="2">
        <f>_xlfn.STDEV.P(L24:L25)</f>
        <v>4.9399999999999999E-2</v>
      </c>
      <c r="W14" s="2">
        <f>_xlfn.STDEV.P(M24:M25)</f>
        <v>1.6754999999999999E-2</v>
      </c>
    </row>
    <row r="15" spans="1:23" x14ac:dyDescent="0.15">
      <c r="A15" t="s">
        <v>69</v>
      </c>
      <c r="C15" s="1" t="s">
        <v>78</v>
      </c>
      <c r="D15" s="1">
        <v>2</v>
      </c>
      <c r="E15" s="1" t="s">
        <v>85</v>
      </c>
      <c r="F15" s="1">
        <v>2</v>
      </c>
      <c r="G15" s="1" t="s">
        <v>87</v>
      </c>
      <c r="H15" s="2">
        <v>0.56299999999999994</v>
      </c>
      <c r="I15" s="2">
        <v>0.43099999999999999</v>
      </c>
      <c r="J15" s="2">
        <v>1.4E-3</v>
      </c>
      <c r="K15" s="2">
        <v>4.0000000000000001E-3</v>
      </c>
      <c r="L15" s="2">
        <f t="shared" si="1"/>
        <v>0.43240000000000001</v>
      </c>
      <c r="M15" s="2">
        <f t="shared" si="1"/>
        <v>5.4000000000000003E-3</v>
      </c>
      <c r="N15" s="1" t="s">
        <v>84</v>
      </c>
      <c r="O15" s="1" t="s">
        <v>83</v>
      </c>
      <c r="P15" s="2">
        <f t="shared" ref="P15:U15" si="13">AVERAGE(H26:H27)</f>
        <v>0.16249999999999998</v>
      </c>
      <c r="Q15" s="2">
        <f t="shared" si="13"/>
        <v>0.83499999999999996</v>
      </c>
      <c r="R15" s="2">
        <f t="shared" si="13"/>
        <v>1.4E-3</v>
      </c>
      <c r="S15" s="2">
        <f t="shared" si="13"/>
        <v>5.5000000000000003E-4</v>
      </c>
      <c r="T15" s="2">
        <f t="shared" si="13"/>
        <v>0.83640000000000003</v>
      </c>
      <c r="U15" s="2">
        <f t="shared" si="13"/>
        <v>1.9500000000000001E-3</v>
      </c>
      <c r="V15" s="2">
        <f>_xlfn.STDEV.P(L26:L27)</f>
        <v>1.8600000000000005E-2</v>
      </c>
      <c r="W15" s="2">
        <f>_xlfn.STDEV.P(M26:M27)</f>
        <v>6.0000000000000006E-4</v>
      </c>
    </row>
    <row r="16" spans="1:23" x14ac:dyDescent="0.15">
      <c r="A16" t="s">
        <v>56</v>
      </c>
      <c r="C16" s="1" t="s">
        <v>78</v>
      </c>
      <c r="D16" s="1">
        <v>1</v>
      </c>
      <c r="E16" s="1" t="s">
        <v>86</v>
      </c>
      <c r="F16" s="1">
        <v>3</v>
      </c>
      <c r="G16" s="1" t="s">
        <v>83</v>
      </c>
      <c r="H16" s="2">
        <v>0.16700000000000001</v>
      </c>
      <c r="I16" s="2">
        <v>0.83</v>
      </c>
      <c r="J16" s="2">
        <v>1.5E-3</v>
      </c>
      <c r="K16" s="2">
        <v>1.8E-3</v>
      </c>
      <c r="L16" s="2">
        <f t="shared" si="1"/>
        <v>0.83149999999999991</v>
      </c>
      <c r="M16" s="2">
        <f t="shared" si="1"/>
        <v>3.3E-3</v>
      </c>
      <c r="O16" s="1" t="s">
        <v>87</v>
      </c>
      <c r="P16" s="2">
        <f t="shared" ref="P16:U16" si="14">AVERAGE(H28:H29)</f>
        <v>0.14599999999999999</v>
      </c>
      <c r="Q16" s="2">
        <f t="shared" si="14"/>
        <v>0.83899999999999997</v>
      </c>
      <c r="R16" s="2">
        <f t="shared" si="14"/>
        <v>1.29E-2</v>
      </c>
      <c r="S16" s="2">
        <f t="shared" si="14"/>
        <v>2.1749999999999999E-3</v>
      </c>
      <c r="T16" s="2">
        <f t="shared" si="14"/>
        <v>0.85189999999999999</v>
      </c>
      <c r="U16" s="2">
        <f t="shared" si="14"/>
        <v>1.5075E-2</v>
      </c>
      <c r="V16" s="2">
        <f>_xlfn.STDEV.P(L28:L29)</f>
        <v>3.5200000000000009E-2</v>
      </c>
      <c r="W16" s="2">
        <f>_xlfn.STDEV.P(M28:M29)</f>
        <v>1.3625E-2</v>
      </c>
    </row>
    <row r="17" spans="1:23" x14ac:dyDescent="0.15">
      <c r="A17" t="s">
        <v>57</v>
      </c>
      <c r="C17" s="1" t="s">
        <v>78</v>
      </c>
      <c r="D17" s="1">
        <v>2</v>
      </c>
      <c r="E17" s="1" t="s">
        <v>86</v>
      </c>
      <c r="F17" s="1">
        <v>3</v>
      </c>
      <c r="G17" s="1" t="s">
        <v>83</v>
      </c>
      <c r="H17" s="2">
        <v>0.41099999999999998</v>
      </c>
      <c r="I17" s="2">
        <v>0.58699999999999997</v>
      </c>
      <c r="J17" s="2">
        <v>6.9999999999999999E-4</v>
      </c>
      <c r="K17" s="2">
        <v>1.1000000000000001E-3</v>
      </c>
      <c r="L17" s="2">
        <f t="shared" si="1"/>
        <v>0.5877</v>
      </c>
      <c r="M17" s="2">
        <f t="shared" si="1"/>
        <v>1.8E-3</v>
      </c>
      <c r="N17" s="1" t="s">
        <v>85</v>
      </c>
      <c r="O17" s="1" t="s">
        <v>83</v>
      </c>
      <c r="P17" s="2">
        <f t="shared" ref="P17:U17" si="15">AVERAGE(H30:H31)</f>
        <v>0.28599999999999998</v>
      </c>
      <c r="Q17" s="2">
        <f t="shared" si="15"/>
        <v>0.71050000000000002</v>
      </c>
      <c r="R17" s="2">
        <f t="shared" si="15"/>
        <v>1.6949999999999999E-3</v>
      </c>
      <c r="S17" s="2">
        <f t="shared" si="15"/>
        <v>1.7000000000000001E-3</v>
      </c>
      <c r="T17" s="2">
        <f t="shared" si="15"/>
        <v>0.71219500000000002</v>
      </c>
      <c r="U17" s="2">
        <f t="shared" si="15"/>
        <v>3.3950000000000004E-3</v>
      </c>
      <c r="V17" s="2">
        <f>_xlfn.STDEV.P(L30:L31)</f>
        <v>7.8605000000000091E-2</v>
      </c>
      <c r="W17" s="2">
        <f>_xlfn.STDEV.P(M30:M31)</f>
        <v>1.7050000000000001E-3</v>
      </c>
    </row>
    <row r="18" spans="1:23" x14ac:dyDescent="0.15">
      <c r="A18" t="s">
        <v>72</v>
      </c>
      <c r="C18" s="1" t="s">
        <v>78</v>
      </c>
      <c r="D18" s="1">
        <v>1</v>
      </c>
      <c r="E18" s="1" t="s">
        <v>86</v>
      </c>
      <c r="F18" s="1">
        <v>3</v>
      </c>
      <c r="G18" s="1" t="s">
        <v>87</v>
      </c>
      <c r="H18" s="2">
        <v>0.49199999999999999</v>
      </c>
      <c r="I18" s="2">
        <v>0.503</v>
      </c>
      <c r="J18" s="2">
        <v>2E-3</v>
      </c>
      <c r="K18" s="2">
        <v>2.5000000000000001E-3</v>
      </c>
      <c r="L18" s="2">
        <f t="shared" si="1"/>
        <v>0.505</v>
      </c>
      <c r="M18" s="2">
        <f t="shared" si="1"/>
        <v>4.5000000000000005E-3</v>
      </c>
      <c r="O18" s="1" t="s">
        <v>87</v>
      </c>
      <c r="P18" s="2">
        <f t="shared" ref="P18:U18" si="16">AVERAGE(H32:H33)</f>
        <v>0.48350000000000004</v>
      </c>
      <c r="Q18" s="2">
        <f t="shared" si="16"/>
        <v>0.50850000000000006</v>
      </c>
      <c r="R18" s="2">
        <f t="shared" si="16"/>
        <v>2.8E-3</v>
      </c>
      <c r="S18" s="2">
        <f t="shared" si="16"/>
        <v>5.3500000000000006E-3</v>
      </c>
      <c r="T18" s="2">
        <f t="shared" si="16"/>
        <v>0.51130000000000009</v>
      </c>
      <c r="U18" s="2">
        <f t="shared" si="16"/>
        <v>8.1499999999999993E-3</v>
      </c>
      <c r="V18" s="2">
        <f>_xlfn.STDEV.P(L32:L33)</f>
        <v>4.4800000000000006E-2</v>
      </c>
      <c r="W18" s="2">
        <f>_xlfn.STDEV.P(M32:M33)</f>
        <v>4.550000000000002E-3</v>
      </c>
    </row>
    <row r="19" spans="1:23" x14ac:dyDescent="0.15">
      <c r="A19" t="s">
        <v>73</v>
      </c>
      <c r="C19" s="1" t="s">
        <v>78</v>
      </c>
      <c r="D19" s="1">
        <v>2</v>
      </c>
      <c r="E19" s="1" t="s">
        <v>86</v>
      </c>
      <c r="F19" s="1">
        <v>3</v>
      </c>
      <c r="G19" s="1" t="s">
        <v>87</v>
      </c>
      <c r="H19" s="2">
        <v>0.59599999999999997</v>
      </c>
      <c r="I19" s="2">
        <v>0.39600000000000002</v>
      </c>
      <c r="J19" s="2">
        <v>3.0999999999999999E-3</v>
      </c>
      <c r="K19" s="2">
        <v>5.7000000000000002E-3</v>
      </c>
      <c r="L19" s="2">
        <f t="shared" si="1"/>
        <v>0.39910000000000001</v>
      </c>
      <c r="M19" s="2">
        <f t="shared" si="1"/>
        <v>8.8000000000000005E-3</v>
      </c>
      <c r="N19" s="1" t="s">
        <v>86</v>
      </c>
      <c r="O19" s="1" t="s">
        <v>83</v>
      </c>
      <c r="P19" s="2">
        <f>AVERAGE(H35:H36)</f>
        <v>0.46699999999999997</v>
      </c>
      <c r="Q19" s="2">
        <f t="shared" ref="Q19:S20" si="17">AVERAGE(I35:I36)</f>
        <v>0.52899999999999991</v>
      </c>
      <c r="R19" s="2">
        <f t="shared" si="17"/>
        <v>2.075E-3</v>
      </c>
      <c r="S19" s="2">
        <f t="shared" si="17"/>
        <v>1.5499999999999999E-3</v>
      </c>
      <c r="T19" s="2">
        <f>AVERAGE(L35:L36)</f>
        <v>0.53107499999999996</v>
      </c>
      <c r="U19" s="2">
        <f>AVERAGE(M35:M36)</f>
        <v>3.6250000000000002E-3</v>
      </c>
      <c r="V19" s="2">
        <f>_xlfn.STDEV.P(L34:L35)</f>
        <v>0.15587500000000026</v>
      </c>
      <c r="W19" s="2">
        <f>_xlfn.STDEV.P(M34:M35)</f>
        <v>4.2500000000000003E-4</v>
      </c>
    </row>
    <row r="20" spans="1:23" x14ac:dyDescent="0.15">
      <c r="A20" t="s">
        <v>42</v>
      </c>
      <c r="C20" s="1" t="s">
        <v>79</v>
      </c>
      <c r="D20" s="1">
        <v>1</v>
      </c>
      <c r="E20" s="1" t="s">
        <v>80</v>
      </c>
      <c r="F20" s="1">
        <v>0</v>
      </c>
      <c r="G20" s="1" t="s">
        <v>82</v>
      </c>
      <c r="H20" s="2">
        <v>0.80400000000000005</v>
      </c>
      <c r="I20" s="2">
        <v>0.19600000000000001</v>
      </c>
      <c r="J20" s="3">
        <v>0</v>
      </c>
      <c r="K20" s="2">
        <v>1.1E-4</v>
      </c>
      <c r="L20" s="2">
        <f t="shared" si="1"/>
        <v>0.19600000000000001</v>
      </c>
      <c r="M20" s="2">
        <f t="shared" si="1"/>
        <v>1.1E-4</v>
      </c>
      <c r="O20" s="1" t="s">
        <v>87</v>
      </c>
      <c r="P20" s="2">
        <f>AVERAGE(H36:H37)</f>
        <v>0.47950000000000004</v>
      </c>
      <c r="Q20" s="2">
        <f t="shared" si="17"/>
        <v>0.51149999999999995</v>
      </c>
      <c r="R20" s="2">
        <f t="shared" si="17"/>
        <v>4.8500000000000001E-3</v>
      </c>
      <c r="S20" s="2">
        <f t="shared" si="17"/>
        <v>4.15E-3</v>
      </c>
      <c r="T20" s="2">
        <f>AVERAGE(L36:L37)</f>
        <v>0.51634999999999998</v>
      </c>
      <c r="U20" s="2">
        <f>AVERAGE(M36:M37)</f>
        <v>9.0000000000000011E-3</v>
      </c>
      <c r="V20" s="2">
        <f>_xlfn.STDEV.P(L36:L37)</f>
        <v>5.8849999999999805E-2</v>
      </c>
      <c r="W20" s="2">
        <f>_xlfn.STDEV.P(M36:M37)</f>
        <v>3.8999999999999981E-3</v>
      </c>
    </row>
    <row r="21" spans="1:23" x14ac:dyDescent="0.15">
      <c r="A21" t="s">
        <v>43</v>
      </c>
      <c r="C21" s="1" t="s">
        <v>79</v>
      </c>
      <c r="D21" s="1">
        <v>2</v>
      </c>
      <c r="E21" s="1" t="s">
        <v>80</v>
      </c>
      <c r="F21" s="1">
        <v>0</v>
      </c>
      <c r="G21" s="1" t="s">
        <v>82</v>
      </c>
      <c r="H21" s="2">
        <v>0.70099999999999996</v>
      </c>
      <c r="I21" s="2">
        <v>0.29699999999999999</v>
      </c>
      <c r="J21" s="2">
        <v>5.6999999999999998E-4</v>
      </c>
      <c r="K21" s="2">
        <v>1.6000000000000001E-3</v>
      </c>
      <c r="L21" s="2">
        <f t="shared" si="1"/>
        <v>0.29757</v>
      </c>
      <c r="M21" s="2">
        <f t="shared" si="1"/>
        <v>2.1700000000000001E-3</v>
      </c>
    </row>
    <row r="22" spans="1:23" x14ac:dyDescent="0.15">
      <c r="A22" t="s">
        <v>46</v>
      </c>
      <c r="C22" s="1" t="s">
        <v>79</v>
      </c>
      <c r="D22" s="1">
        <v>1</v>
      </c>
      <c r="E22" s="1" t="s">
        <v>80</v>
      </c>
      <c r="F22" s="1">
        <v>0</v>
      </c>
      <c r="G22" s="1" t="s">
        <v>83</v>
      </c>
      <c r="H22" s="2">
        <v>0.14499999999999999</v>
      </c>
      <c r="I22" s="2">
        <v>0.84499999999999997</v>
      </c>
      <c r="J22" s="2">
        <v>7.3000000000000001E-3</v>
      </c>
      <c r="K22" s="2">
        <v>2.3999999999999998E-3</v>
      </c>
      <c r="L22" s="2">
        <f t="shared" si="1"/>
        <v>0.85229999999999995</v>
      </c>
      <c r="M22" s="2">
        <f t="shared" si="1"/>
        <v>9.7000000000000003E-3</v>
      </c>
    </row>
    <row r="23" spans="1:23" x14ac:dyDescent="0.15">
      <c r="A23" t="s">
        <v>47</v>
      </c>
      <c r="C23" s="1" t="s">
        <v>79</v>
      </c>
      <c r="D23" s="1">
        <v>2</v>
      </c>
      <c r="E23" s="1" t="s">
        <v>80</v>
      </c>
      <c r="F23" s="1">
        <v>0</v>
      </c>
      <c r="G23" s="1" t="s">
        <v>83</v>
      </c>
      <c r="H23" s="2">
        <v>0.215</v>
      </c>
      <c r="I23" s="2">
        <v>0.78400000000000003</v>
      </c>
      <c r="J23" s="2">
        <v>5.9000000000000003E-4</v>
      </c>
      <c r="K23" s="2">
        <v>5.9000000000000003E-4</v>
      </c>
      <c r="L23" s="2">
        <f t="shared" si="1"/>
        <v>0.78459000000000001</v>
      </c>
      <c r="M23" s="2">
        <f t="shared" si="1"/>
        <v>1.1800000000000001E-3</v>
      </c>
    </row>
    <row r="24" spans="1:23" x14ac:dyDescent="0.15">
      <c r="A24" t="s">
        <v>62</v>
      </c>
      <c r="C24" s="1" t="s">
        <v>79</v>
      </c>
      <c r="D24" s="1">
        <v>1</v>
      </c>
      <c r="E24" s="1" t="s">
        <v>80</v>
      </c>
      <c r="F24" s="1">
        <v>0</v>
      </c>
      <c r="G24" s="1" t="s">
        <v>87</v>
      </c>
      <c r="H24" s="2">
        <v>0.129</v>
      </c>
      <c r="I24" s="2">
        <v>0.86899999999999999</v>
      </c>
      <c r="J24" s="2">
        <v>1.6000000000000001E-3</v>
      </c>
      <c r="K24" s="2">
        <v>4.8999999999999998E-4</v>
      </c>
      <c r="L24" s="2">
        <f t="shared" si="1"/>
        <v>0.87060000000000004</v>
      </c>
      <c r="M24" s="2">
        <f t="shared" si="1"/>
        <v>2.0899999999999998E-3</v>
      </c>
    </row>
    <row r="25" spans="1:23" x14ac:dyDescent="0.15">
      <c r="A25" t="s">
        <v>63</v>
      </c>
      <c r="C25" s="1" t="s">
        <v>79</v>
      </c>
      <c r="D25" s="1">
        <v>2</v>
      </c>
      <c r="E25" s="1" t="s">
        <v>80</v>
      </c>
      <c r="F25" s="1">
        <v>0</v>
      </c>
      <c r="G25" s="1" t="s">
        <v>87</v>
      </c>
      <c r="H25" s="2">
        <v>0.224</v>
      </c>
      <c r="I25" s="2">
        <v>0.74</v>
      </c>
      <c r="J25" s="2">
        <v>3.1800000000000002E-2</v>
      </c>
      <c r="K25" s="2">
        <v>3.8E-3</v>
      </c>
      <c r="L25" s="2">
        <f t="shared" si="1"/>
        <v>0.77180000000000004</v>
      </c>
      <c r="M25" s="2">
        <f t="shared" si="1"/>
        <v>3.56E-2</v>
      </c>
    </row>
    <row r="26" spans="1:23" x14ac:dyDescent="0.15">
      <c r="A26" t="s">
        <v>50</v>
      </c>
      <c r="C26" s="1" t="s">
        <v>79</v>
      </c>
      <c r="D26" s="1">
        <v>1</v>
      </c>
      <c r="E26" s="1" t="s">
        <v>84</v>
      </c>
      <c r="F26" s="1">
        <v>1</v>
      </c>
      <c r="G26" s="1" t="s">
        <v>83</v>
      </c>
      <c r="H26" s="2">
        <v>0.18099999999999999</v>
      </c>
      <c r="I26" s="2">
        <v>0.81599999999999995</v>
      </c>
      <c r="J26" s="2">
        <v>1.8E-3</v>
      </c>
      <c r="K26" s="2">
        <v>7.5000000000000002E-4</v>
      </c>
      <c r="L26" s="2">
        <f t="shared" si="1"/>
        <v>0.81779999999999997</v>
      </c>
      <c r="M26" s="2">
        <f t="shared" si="1"/>
        <v>2.5500000000000002E-3</v>
      </c>
    </row>
    <row r="27" spans="1:23" x14ac:dyDescent="0.15">
      <c r="A27" t="s">
        <v>51</v>
      </c>
      <c r="C27" s="1" t="s">
        <v>79</v>
      </c>
      <c r="D27" s="1">
        <v>2</v>
      </c>
      <c r="E27" s="1" t="s">
        <v>84</v>
      </c>
      <c r="F27" s="1">
        <v>1</v>
      </c>
      <c r="G27" s="1" t="s">
        <v>83</v>
      </c>
      <c r="H27" s="2">
        <v>0.14399999999999999</v>
      </c>
      <c r="I27" s="2">
        <v>0.85399999999999998</v>
      </c>
      <c r="J27" s="2">
        <v>1E-3</v>
      </c>
      <c r="K27" s="2">
        <v>3.5E-4</v>
      </c>
      <c r="L27" s="2">
        <f t="shared" si="1"/>
        <v>0.85499999999999998</v>
      </c>
      <c r="M27" s="2">
        <f t="shared" si="1"/>
        <v>1.3500000000000001E-3</v>
      </c>
    </row>
    <row r="28" spans="1:23" x14ac:dyDescent="0.15">
      <c r="A28" t="s">
        <v>66</v>
      </c>
      <c r="C28" s="1" t="s">
        <v>79</v>
      </c>
      <c r="D28" s="1">
        <v>1</v>
      </c>
      <c r="E28" s="1" t="s">
        <v>84</v>
      </c>
      <c r="F28" s="1">
        <v>1</v>
      </c>
      <c r="G28" s="1" t="s">
        <v>87</v>
      </c>
      <c r="H28" s="2">
        <v>0.113</v>
      </c>
      <c r="I28" s="2">
        <v>0.88600000000000001</v>
      </c>
      <c r="J28" s="2">
        <v>1.1000000000000001E-3</v>
      </c>
      <c r="K28" s="2">
        <v>3.5E-4</v>
      </c>
      <c r="L28" s="2">
        <f t="shared" si="1"/>
        <v>0.8871</v>
      </c>
      <c r="M28" s="2">
        <f t="shared" si="1"/>
        <v>1.4500000000000001E-3</v>
      </c>
    </row>
    <row r="29" spans="1:23" x14ac:dyDescent="0.15">
      <c r="A29" t="s">
        <v>67</v>
      </c>
      <c r="C29" s="1" t="s">
        <v>79</v>
      </c>
      <c r="D29" s="1">
        <v>2</v>
      </c>
      <c r="E29" s="1" t="s">
        <v>84</v>
      </c>
      <c r="F29" s="1">
        <v>1</v>
      </c>
      <c r="G29" s="1" t="s">
        <v>87</v>
      </c>
      <c r="H29" s="2">
        <v>0.17899999999999999</v>
      </c>
      <c r="I29" s="2">
        <v>0.79200000000000004</v>
      </c>
      <c r="J29" s="2">
        <v>2.47E-2</v>
      </c>
      <c r="K29" s="2">
        <v>4.0000000000000001E-3</v>
      </c>
      <c r="L29" s="2">
        <f t="shared" si="1"/>
        <v>0.81669999999999998</v>
      </c>
      <c r="M29" s="2">
        <f t="shared" si="1"/>
        <v>2.87E-2</v>
      </c>
    </row>
    <row r="30" spans="1:23" x14ac:dyDescent="0.15">
      <c r="A30" t="s">
        <v>54</v>
      </c>
      <c r="C30" s="1" t="s">
        <v>79</v>
      </c>
      <c r="D30" s="1">
        <v>1</v>
      </c>
      <c r="E30" s="1" t="s">
        <v>85</v>
      </c>
      <c r="F30" s="1">
        <v>2</v>
      </c>
      <c r="G30" s="1" t="s">
        <v>83</v>
      </c>
      <c r="H30" s="2">
        <v>0.20699999999999999</v>
      </c>
      <c r="I30" s="2">
        <v>0.78800000000000003</v>
      </c>
      <c r="J30" s="2">
        <v>2.8E-3</v>
      </c>
      <c r="K30" s="2">
        <v>2.3E-3</v>
      </c>
      <c r="L30" s="2">
        <f t="shared" si="1"/>
        <v>0.79080000000000006</v>
      </c>
      <c r="M30" s="2">
        <f t="shared" si="1"/>
        <v>5.1000000000000004E-3</v>
      </c>
    </row>
    <row r="31" spans="1:23" x14ac:dyDescent="0.15">
      <c r="A31" t="s">
        <v>55</v>
      </c>
      <c r="C31" s="1" t="s">
        <v>79</v>
      </c>
      <c r="D31" s="1">
        <v>2</v>
      </c>
      <c r="E31" s="1" t="s">
        <v>85</v>
      </c>
      <c r="F31" s="1">
        <v>2</v>
      </c>
      <c r="G31" s="1" t="s">
        <v>83</v>
      </c>
      <c r="H31" s="2">
        <v>0.36499999999999999</v>
      </c>
      <c r="I31" s="2">
        <v>0.63300000000000001</v>
      </c>
      <c r="J31" s="2">
        <v>5.9000000000000003E-4</v>
      </c>
      <c r="K31" s="2">
        <v>1.1000000000000001E-3</v>
      </c>
      <c r="L31" s="2">
        <f t="shared" si="1"/>
        <v>0.63358999999999999</v>
      </c>
      <c r="M31" s="2">
        <f t="shared" si="1"/>
        <v>1.6900000000000001E-3</v>
      </c>
    </row>
    <row r="32" spans="1:23" x14ac:dyDescent="0.15">
      <c r="A32" t="s">
        <v>70</v>
      </c>
      <c r="C32" s="1" t="s">
        <v>79</v>
      </c>
      <c r="D32" s="1">
        <v>1</v>
      </c>
      <c r="E32" s="1" t="s">
        <v>85</v>
      </c>
      <c r="F32" s="1">
        <v>2</v>
      </c>
      <c r="G32" s="1" t="s">
        <v>87</v>
      </c>
      <c r="H32" s="2">
        <v>0.442</v>
      </c>
      <c r="I32" s="2">
        <v>0.55500000000000005</v>
      </c>
      <c r="J32" s="2">
        <v>1.1000000000000001E-3</v>
      </c>
      <c r="K32" s="2">
        <v>2.5000000000000001E-3</v>
      </c>
      <c r="L32" s="2">
        <f t="shared" si="1"/>
        <v>0.55610000000000004</v>
      </c>
      <c r="M32" s="2">
        <f t="shared" si="1"/>
        <v>3.5999999999999999E-3</v>
      </c>
    </row>
    <row r="33" spans="1:13" x14ac:dyDescent="0.15">
      <c r="A33" t="s">
        <v>71</v>
      </c>
      <c r="C33" s="1" t="s">
        <v>79</v>
      </c>
      <c r="D33" s="1">
        <v>2</v>
      </c>
      <c r="E33" s="1" t="s">
        <v>85</v>
      </c>
      <c r="F33" s="1">
        <v>2</v>
      </c>
      <c r="G33" s="1" t="s">
        <v>87</v>
      </c>
      <c r="H33" s="2">
        <v>0.52500000000000002</v>
      </c>
      <c r="I33" s="2">
        <v>0.46200000000000002</v>
      </c>
      <c r="J33" s="2">
        <v>4.4999999999999997E-3</v>
      </c>
      <c r="K33" s="2">
        <v>8.2000000000000007E-3</v>
      </c>
      <c r="L33" s="2">
        <f t="shared" si="1"/>
        <v>0.46650000000000003</v>
      </c>
      <c r="M33" s="2">
        <f t="shared" si="1"/>
        <v>1.2699999999999999E-2</v>
      </c>
    </row>
    <row r="34" spans="1:13" x14ac:dyDescent="0.15">
      <c r="A34" t="s">
        <v>58</v>
      </c>
      <c r="C34" s="1" t="s">
        <v>79</v>
      </c>
      <c r="D34" s="1">
        <v>1</v>
      </c>
      <c r="E34" s="1" t="s">
        <v>86</v>
      </c>
      <c r="F34" s="1">
        <v>3</v>
      </c>
      <c r="G34" s="1" t="s">
        <v>83</v>
      </c>
      <c r="H34" s="2">
        <v>0.2</v>
      </c>
      <c r="I34" s="2">
        <v>0.79700000000000004</v>
      </c>
      <c r="J34" s="2">
        <v>1.6999999999999999E-3</v>
      </c>
      <c r="K34" s="2">
        <v>1.2999999999999999E-3</v>
      </c>
      <c r="L34" s="2">
        <f t="shared" si="1"/>
        <v>0.79870000000000008</v>
      </c>
      <c r="M34" s="2">
        <f t="shared" si="1"/>
        <v>3.0000000000000001E-3</v>
      </c>
    </row>
    <row r="35" spans="1:13" x14ac:dyDescent="0.15">
      <c r="A35" t="s">
        <v>59</v>
      </c>
      <c r="C35" s="1" t="s">
        <v>79</v>
      </c>
      <c r="D35" s="1">
        <v>2</v>
      </c>
      <c r="E35" s="1" t="s">
        <v>86</v>
      </c>
      <c r="F35" s="1">
        <v>3</v>
      </c>
      <c r="G35" s="1" t="s">
        <v>83</v>
      </c>
      <c r="H35" s="2">
        <v>0.51100000000000001</v>
      </c>
      <c r="I35" s="2">
        <v>0.48599999999999999</v>
      </c>
      <c r="J35" s="2">
        <v>9.5E-4</v>
      </c>
      <c r="K35" s="2">
        <v>1.1999999999999999E-3</v>
      </c>
      <c r="L35" s="2">
        <f t="shared" si="1"/>
        <v>0.48694999999999999</v>
      </c>
      <c r="M35" s="2">
        <f t="shared" si="1"/>
        <v>2.15E-3</v>
      </c>
    </row>
    <row r="36" spans="1:13" x14ac:dyDescent="0.15">
      <c r="A36" t="s">
        <v>74</v>
      </c>
      <c r="C36" s="1" t="s">
        <v>79</v>
      </c>
      <c r="D36" s="1">
        <v>1</v>
      </c>
      <c r="E36" s="1" t="s">
        <v>86</v>
      </c>
      <c r="F36" s="1">
        <v>3</v>
      </c>
      <c r="G36" s="1" t="s">
        <v>87</v>
      </c>
      <c r="H36" s="2">
        <v>0.42299999999999999</v>
      </c>
      <c r="I36" s="2">
        <v>0.57199999999999995</v>
      </c>
      <c r="J36" s="2">
        <v>3.2000000000000002E-3</v>
      </c>
      <c r="K36" s="2">
        <v>1.9E-3</v>
      </c>
      <c r="L36" s="2">
        <f t="shared" si="1"/>
        <v>0.57519999999999993</v>
      </c>
      <c r="M36" s="2">
        <f t="shared" si="1"/>
        <v>5.1000000000000004E-3</v>
      </c>
    </row>
    <row r="37" spans="1:13" x14ac:dyDescent="0.15">
      <c r="A37" t="s">
        <v>75</v>
      </c>
      <c r="C37" s="1" t="s">
        <v>79</v>
      </c>
      <c r="D37" s="1">
        <v>2</v>
      </c>
      <c r="E37" s="1" t="s">
        <v>86</v>
      </c>
      <c r="F37" s="1">
        <v>3</v>
      </c>
      <c r="G37" s="1" t="s">
        <v>87</v>
      </c>
      <c r="H37" s="2">
        <v>0.53600000000000003</v>
      </c>
      <c r="I37" s="2">
        <v>0.45100000000000001</v>
      </c>
      <c r="J37" s="2">
        <v>6.4999999999999997E-3</v>
      </c>
      <c r="K37" s="2">
        <v>6.4000000000000003E-3</v>
      </c>
      <c r="L37" s="2">
        <f t="shared" si="1"/>
        <v>0.45750000000000002</v>
      </c>
      <c r="M37" s="2">
        <f t="shared" si="1"/>
        <v>1.29E-2</v>
      </c>
    </row>
  </sheetData>
  <mergeCells count="4">
    <mergeCell ref="N2:N4"/>
    <mergeCell ref="N5:N6"/>
    <mergeCell ref="N7:N8"/>
    <mergeCell ref="N9:N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r.SAB02</vt:lpstr>
      <vt:lpstr>set2</vt:lpstr>
      <vt:lpstr>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Shalise Burch</cp:lastModifiedBy>
  <dcterms:created xsi:type="dcterms:W3CDTF">2024-08-08T19:33:28Z</dcterms:created>
  <dcterms:modified xsi:type="dcterms:W3CDTF">2025-04-23T18:54:52Z</dcterms:modified>
</cp:coreProperties>
</file>